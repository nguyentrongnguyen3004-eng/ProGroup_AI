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Tổng quan &amp; Dashboard" sheetId="1" r:id="rId1"/>
    <sheet name="2. Xác thực &amp; Hệ thống" sheetId="2" r:id="rId2"/>
    <sheet name="3. Phân hệ Sinh viên" sheetId="3" r:id="rId3"/>
    <sheet name="4. Phân hệ Giảng viên" sheetId="4" r:id="rId4"/>
    <sheet name="5. Giáo vụ &amp; Đào tạo" sheetId="5" r:id="rId5"/>
    <sheet name="6. Quản trị hệ thống" sheetId="6" r:id="rId6"/>
    <sheet name="7. Phi chức năng &amp; Bảo mật" sheetId="7" r:id="rId7"/>
  </sheets>
  <calcPr calcId="124519" fullCalcOnLoad="1"/>
</workbook>
</file>

<file path=xl/sharedStrings.xml><?xml version="1.0" encoding="utf-8"?>
<sst xmlns="http://schemas.openxmlformats.org/spreadsheetml/2006/main" count="752" uniqueCount="527">
  <si>
    <t>🎓 HỆ THỐNG PROGROUP AI - TÀI LIỆU KỊCH BẢN KIỂM THỬ (TEST PLAN &amp; TEST CASES)</t>
  </si>
  <si>
    <t>Dự án: Phát triển Ứng dụng Di động Quản lý &amp; Đăng ký Đồ án Tích hợp Trí tuệ Nhân tạo | Phiên bản: 1.0.0</t>
  </si>
  <si>
    <t>📌 THÔNG TIN DỰ ÁN &amp; MÔI TRƯỜNG KIỂM THỬ</t>
  </si>
  <si>
    <t>Tên dự án:</t>
  </si>
  <si>
    <t>ProGroup AI (Hệ thống Đăng ký &amp; Quản lý Đồ án môn học / tốt nghiệp)</t>
  </si>
  <si>
    <t>Nền tảng kiểm thử Client:</t>
  </si>
  <si>
    <t>Android Mobile (Thiết bị thật qua cáp USB / Android Emulator)</t>
  </si>
  <si>
    <t>Kiến trúc Backend &amp; API:</t>
  </si>
  <si>
    <t>ASP.NET Core Web API 10.0 (Port 5094) + Entity Framework Core</t>
  </si>
  <si>
    <t>Cơ sở dữ liệu:</t>
  </si>
  <si>
    <t>Microsoft SQL Server 2019+ (Database: ProjectRegistrationDB)</t>
  </si>
  <si>
    <t>Tích hợp AI:</t>
  </si>
  <si>
    <t>Google Gemini AI (Gợi ý đề tài, Phân tích học vụ khoa)</t>
  </si>
  <si>
    <t>Người thực hiện kiểm thử:</t>
  </si>
  <si>
    <t>[Họ và tên Tester ghi tại đây]</t>
  </si>
  <si>
    <t>Ngày bắt đầu kiểm thử:</t>
  </si>
  <si>
    <t>[DD/MM/YYYY]</t>
  </si>
  <si>
    <t>Trạng thái dự án:</t>
  </si>
  <si>
    <t>Sẵn sàng bàn giao &amp; Nghiệm thu đồ án</t>
  </si>
  <si>
    <t>📊 BẢNG THEO DÕI TIẾN ĐỘ &amp; KẾT QUẢ KIỂM THỬ THEO PHÂN HỆ</t>
  </si>
  <si>
    <t>STT</t>
  </si>
  <si>
    <t>Phân hệ / Sheet Kiểm thử</t>
  </si>
  <si>
    <t>Tổng số TC</t>
  </si>
  <si>
    <t>Đạt (Pass)</t>
  </si>
  <si>
    <t>Lỗi (Fail)</t>
  </si>
  <si>
    <t>Chặn (Blocked)</t>
  </si>
  <si>
    <t>Chưa test</t>
  </si>
  <si>
    <t>Tỷ lệ Đạt (%)</t>
  </si>
  <si>
    <t>1</t>
  </si>
  <si>
    <t>2. Xác thực &amp; Hệ thống (Auth &amp; System)</t>
  </si>
  <si>
    <t>2</t>
  </si>
  <si>
    <t>3. Phân hệ Sinh viên (Student)</t>
  </si>
  <si>
    <t>3</t>
  </si>
  <si>
    <t>4. Phân hệ Giảng viên (Lecturer)</t>
  </si>
  <si>
    <t>4</t>
  </si>
  <si>
    <t>5. Giáo vụ &amp; Đào tạo (Admin/Dept)</t>
  </si>
  <si>
    <t>5</t>
  </si>
  <si>
    <t>6. Quản trị hệ thống (System Admin)</t>
  </si>
  <si>
    <t>6</t>
  </si>
  <si>
    <t>7. Phi chức năng &amp; Bảo mật (NFR)</t>
  </si>
  <si>
    <t>TỔNG CỘNG TOÀN HỆ THỐNG</t>
  </si>
  <si>
    <t>📖 HƯỚNG DẪN DÀNH CHO TESTER KHI THỰC HIỆN KIỂM THỬ</t>
  </si>
  <si>
    <t>Quy ước Trạng thái (Status):</t>
  </si>
  <si>
    <t>• Pass: Tính năng chạy đúng 100% kết quả mong đợi. | • Fail: Có lỗi/sai logic/crash. | • Blocked: Bị nghẽn do lỗi module khác. | • Untested: Chưa kiểm tra.</t>
  </si>
  <si>
    <t>Quy ước Mức độ nghiêm trọng (Severity):</t>
  </si>
  <si>
    <t>• Critical: Crash app, không đăng nhập được, mất dữ liệu. | • High: Sai luồng nghiệp vụ chính, duyệt/đăng ký thất bại. | • Medium: Lỗi giao diện, sai text, filter không đúng. | • Low: Lỗi thẩm mỹ nhỏ, chính tả.</t>
  </si>
  <si>
    <t>Tài khoản kiểm thử mặc định:</t>
  </si>
  <si>
    <t>Sinh viên: sv001 (123456) | Giảng viên: gv001 (123456) | Giáo vụ: gvk.demo (123456) | Đào tạo: pdt.demo (123456) | Admin: admin.demo (123456)</t>
  </si>
  <si>
    <t>Lưu ý kết nối máy chủ:</t>
  </si>
  <si>
    <t>Khi test trên điện thoại thật cắm cáp USB, đảm bảo đã chạy 'adb reverse tcp:5094 tcp:5094' và Backend API đang lắng nghe tại cổng 5094.</t>
  </si>
  <si>
    <t>📋 KỊCH BẢN KIỂM THỬ PHÂN HỆ XÁC THỰC &amp; TÍNH NĂNG CHUNG HỆ THỐNG</t>
  </si>
  <si>
    <t>Mã TC (ID)</t>
  </si>
  <si>
    <t>Phân hệ / Tính năng</t>
  </si>
  <si>
    <t>Kịch bản kiểm thử (Scenario)</t>
  </si>
  <si>
    <t>Tiền điều kiện (Pre-conditions)</t>
  </si>
  <si>
    <t>Các bước thực hiện (Steps)</t>
  </si>
  <si>
    <t>Dữ liệu kiểm thử (Test Data)</t>
  </si>
  <si>
    <t>Kết quả mong đợi (Expected Result)</t>
  </si>
  <si>
    <t>Mức độ (Severity)</t>
  </si>
  <si>
    <t>Ưu tiên (Priority)</t>
  </si>
  <si>
    <t>Kết quả thực tế (Actual Result)</t>
  </si>
  <si>
    <t>Trạng thái (Status)</t>
  </si>
  <si>
    <t>Mã Bug / Ghi chú</t>
  </si>
  <si>
    <t>Tester</t>
  </si>
  <si>
    <t>Ngày test</t>
  </si>
  <si>
    <t>TC_AUTH_001</t>
  </si>
  <si>
    <t>Đăng nhập</t>
  </si>
  <si>
    <t>Đăng nhập thành công với tài khoản Sinh viên</t>
  </si>
  <si>
    <t>App đã mở tại màn hình Đăng nhập; Backend API đang chạy.</t>
  </si>
  <si>
    <t>1. Nhập Tên đăng nhập hợp lệ.
2. Nhập Mật khẩu chính xác.
3. Bấm nút 'Đăng nhập'.</t>
  </si>
  <si>
    <t>Tên đăng nhập: sv001
Mật khẩu: 123456</t>
  </si>
  <si>
    <t>Đăng nhập thành công, lưu JWT Token vào bộ nhớ, chuyển hướng đúng vào màn hình Trang chủ Sinh viên.</t>
  </si>
  <si>
    <t>Critical</t>
  </si>
  <si>
    <t>P1</t>
  </si>
  <si>
    <t>TC_AUTH_002</t>
  </si>
  <si>
    <t>Đăng nhập thành công với tài khoản Giảng viên</t>
  </si>
  <si>
    <t>App tại màn hình Đăng nhập.</t>
  </si>
  <si>
    <t>1. Nhập tài khoản Giảng viên.
2. Nhập Mật khẩu.
3. Bấm 'Đăng nhập'.</t>
  </si>
  <si>
    <t>Tên đăng nhập: gv001
Mật khẩu: 123456</t>
  </si>
  <si>
    <t>Chuyển hướng chính xác vào màn hình Trang chủ Giảng viên, nạp menu và quyền Giảng viên.</t>
  </si>
  <si>
    <t>TC_AUTH_003</t>
  </si>
  <si>
    <t>Đăng nhập thành công với tài khoản Quản trị viên (Admin)</t>
  </si>
  <si>
    <t>1. Nhập tài khoản Admin.
2. Nhập Mật khẩu.
3. Bấm 'Đăng nhập'.</t>
  </si>
  <si>
    <t>Tên đăng nhập: admin.demo
Mật khẩu: 123456</t>
  </si>
  <si>
    <t>Chuyển hướng chính xác vào Dashboard Admin với đầy đủ quyền quản lý hệ thống.</t>
  </si>
  <si>
    <t>TC_AUTH_004</t>
  </si>
  <si>
    <t>Đăng nhập với các role Giáo vụ khoa và Phòng đào tạo</t>
  </si>
  <si>
    <t>1. Test lần lượt tài khoản gvk.demo và pdt.demo.
2. Bấm 'Đăng nhập'.</t>
  </si>
  <si>
    <t>gvk.demo / 123456
pdt.demo / 123456</t>
  </si>
  <si>
    <t>Chuyển hướng chính xác vào màn hình tương ứng của từng phân hệ Giáo vụ và Đào tạo.</t>
  </si>
  <si>
    <t>High</t>
  </si>
  <si>
    <t>TC_AUTH_005</t>
  </si>
  <si>
    <t>Đăng nhập thất bại khi để trống thông tin</t>
  </si>
  <si>
    <t>1. Để trống Tên đăng nhập hoặc Mật khẩu.
2. Bấm nút 'Đăng nhập'.</t>
  </si>
  <si>
    <t>Username: '' | Password: ''</t>
  </si>
  <si>
    <t>Hiển thị thông báo lỗi yêu cầu nhập đầy đủ tài khoản và mật khẩu, không gửi request rác lên server.</t>
  </si>
  <si>
    <t>Medium</t>
  </si>
  <si>
    <t>P2</t>
  </si>
  <si>
    <t>TC_AUTH_006</t>
  </si>
  <si>
    <t>Đăng nhập thất bại khi sai mật khẩu</t>
  </si>
  <si>
    <t>Tài khoản sv001 tồn tại trên hệ thống.</t>
  </si>
  <si>
    <t>1. Nhập 'sv001'.
2. Nhập mật khẩu sai 'sai_pass_123'.
3. Bấm 'Đăng nhập'.</t>
  </si>
  <si>
    <t>Username: sv001
Password: sai_pass_123</t>
  </si>
  <si>
    <t>Hiển thị thông báo lỗi: 'Tên đăng nhập hoặc mật khẩu không chính xác' (Mã lỗi 400/401). Không crash app.</t>
  </si>
  <si>
    <t>TC_AUTH_007</t>
  </si>
  <si>
    <t>Đăng nhập với tài khoản đang bị Khóa</t>
  </si>
  <si>
    <t>Tài khoản đã bị Admin khóa trạng thái (trangThai = false).</t>
  </si>
  <si>
    <t>1. Nhập tài khoản bị khóa.
2. Nhập mật khẩu đúng.
3. Bấm 'Đăng nhập'.</t>
  </si>
  <si>
    <t>Tài khoản bị khóa</t>
  </si>
  <si>
    <t>Hiển thị thông báo: 'Tài khoản đã bị vô hiệu hóa hoặc khóa liên hệ Quản trị viên'. Không cấp token.</t>
  </si>
  <si>
    <t>TC_AUTH_008</t>
  </si>
  <si>
    <t>Bảo mật</t>
  </si>
  <si>
    <t>Ẩn/hiện mật khẩu trong ô nhập</t>
  </si>
  <si>
    <t>Đang ở màn hình Đăng nhập.</t>
  </si>
  <si>
    <t>1. Nhập mật khẩu vào ô.
2. Bấm icon con mắt để đổi trạng thái ẩn/hiện.</t>
  </si>
  <si>
    <t>Mật khẩu: '123456'</t>
  </si>
  <si>
    <t>Mặc định hiển thị dấu chấm tròn (obscureText = true). Bấm icon mắt sẽ hiện rõ chữ, bấm lần nữa sẽ ẩn lại.</t>
  </si>
  <si>
    <t>Low</t>
  </si>
  <si>
    <t>P3</t>
  </si>
  <si>
    <t>TC_AUTH_009</t>
  </si>
  <si>
    <t>Lưu phiên</t>
  </si>
  <si>
    <t>Tự động lưu trạng thái đăng nhập khi mở lại app</t>
  </si>
  <si>
    <t>Người dùng đã đăng nhập thành công trước đó.</t>
  </si>
  <si>
    <t>1. Thoát hẳn ứng dụng (tắt task đa nhiệm).
2. Mở lại ứng dụng ProGroup AI.</t>
  </si>
  <si>
    <t>Phiên đăng nhập đã lưu trong SharedPreferences</t>
  </si>
  <si>
    <t>Ứng dụng tự động khôi phục phiên làm việc và vào thẳng trang chủ mà không bắt đăng nhập lại.</t>
  </si>
  <si>
    <t>TC_AUTH_010</t>
  </si>
  <si>
    <t>Đăng xuất</t>
  </si>
  <si>
    <t>Đăng xuất và hủy token phiên làm việc</t>
  </si>
  <si>
    <t>Người dùng đang đăng nhập.</t>
  </si>
  <si>
    <t>1. Vào tab 'Cá nhân'.
2. Bấm 'Đăng xuất'.
3. Xác nhận trên hộp thoại đăng xuất.</t>
  </si>
  <si>
    <t>N/A</t>
  </si>
  <si>
    <t>Xóa sạch JWT Token và User Info trong SharedPreferences, chuyển về màn hình Đăng nhập an toàn.</t>
  </si>
  <si>
    <t>TC_AUTH_011</t>
  </si>
  <si>
    <t>Hệ thống</t>
  </si>
  <si>
    <t>Tự động dò tìm địa chỉ Máy chủ Backend (Auto-Detect)</t>
  </si>
  <si>
    <t>Cắm cáp USB hoặc chung mạng Wi-Fi LAN với máy tính chạy Backend.</t>
  </si>
  <si>
    <t>1. Mở ứng dụng từ màn hình chờ.
2. Theo dõi tiến trình khởi động tại main.dart.</t>
  </si>
  <si>
    <t>Địa chỉ ưu tiên: 127.0.0.1:5094 -&gt; 192.168.x.x:5094 -&gt; 10.0.2.2:5094</t>
  </si>
  <si>
    <t>Hàm autoDetectServer() tự động ping và thiết lập BaseUrl thành công mà người dùng không cần cấu hình gì.</t>
  </si>
  <si>
    <t>TC_AUTH_012</t>
  </si>
  <si>
    <t>Giao diện</t>
  </si>
  <si>
    <t>Ẩn nút Máy chủ và lối tắt ngầm cho Developer</t>
  </si>
  <si>
    <t>Ở màn hình Đăng nhập.</t>
  </si>
  <si>
    <t>1. Kiểm tra góc trên bên phải màn hình Đăng nhập.
2. Nhấn giữ (Long press) vào Logo ProGroup AI ở giữa màn hình.</t>
  </si>
  <si>
    <t>Góc trên bên phải không còn nút 'Máy chủ' (đảm bảo thẩm mỹ). Khi nhấn giữ Logo, dialog Cấu hình máy chủ mở ra.</t>
  </si>
  <si>
    <t>TC_AUTH_013</t>
  </si>
  <si>
    <t>Cài đặt</t>
  </si>
  <si>
    <t>Chuyển đổi giao diện Sáng / Tối (Dark / Light Theme)</t>
  </si>
  <si>
    <t>Đang đăng nhập vào app.</t>
  </si>
  <si>
    <t>1. Vào mục Cá nhân &gt; Cài đặt giao diện.
2. Chuyển đổi giữa chế độ Tối và Sáng.
3. Thoát app và mở lại.</t>
  </si>
  <si>
    <t>ThemeMode: Dark / Light / System</t>
  </si>
  <si>
    <t>Giao diện đổi màu lập tức (Dark: nền xanh đen slate, Light: nền trắng xanh). Khi mở lại app vẫn giữ nguyên cấu hình.</t>
  </si>
  <si>
    <t>TC_AUTH_014</t>
  </si>
  <si>
    <t>Đa ngôn ngữ</t>
  </si>
  <si>
    <t>Chuyển đổi Ngôn ngữ Tiếng Việt và Tiếng Anh</t>
  </si>
  <si>
    <t>Đang trong ứng dụng.</t>
  </si>
  <si>
    <t>1. Vào Cài đặt &gt; Chọn Ngôn ngữ.
2. Đổi sang 'English' rồi đổi lại 'Tiếng Việt'.</t>
  </si>
  <si>
    <t>Locale: 'vi' / 'en'</t>
  </si>
  <si>
    <t>Toàn bộ tiêu đề, nhãn nút bấm và thông báo đổi sang ngôn ngữ đã chọn. Lưu cấu hình qua SharedPreferences.</t>
  </si>
  <si>
    <t>TC_AUTH_015</t>
  </si>
  <si>
    <t>Cập nhật OTA</t>
  </si>
  <si>
    <t>Tự động kiểm tra bản cập nhật ứng dụng</t>
  </si>
  <si>
    <t>Có kết nối mạng tới Backend.</t>
  </si>
  <si>
    <t>1. Mở app hoặc vào Cá nhân &gt; Thông tin ứng dụng &gt; Kiểm tra bản cập nhật.
2. Backend trả về version mới.</t>
  </si>
  <si>
    <t>GET /api/app/version</t>
  </si>
  <si>
    <t>Nếu có bản mới: Hiển thị popup kèm Changelog chi tiết. Nếu là bản mới nhất: Báo 'Ứng dụng đã ở phiên bản mới nhất'.</t>
  </si>
  <si>
    <t>📋 KỊCH BẢN KIỂM THỬ PHÂN HỆ SINH VIÊN (STUDENT MODULE)</t>
  </si>
  <si>
    <t>TC_STU_001</t>
  </si>
  <si>
    <t>Trang chủ</t>
  </si>
  <si>
    <t>Hiển thị thông tin tổng quan và Avatar cá nhân</t>
  </si>
  <si>
    <t>Đăng nhập tài khoản sv001 thành công.</t>
  </si>
  <si>
    <t>1. Điều hướng vào tab 'Trang chủ'.
2. Quan sát phần Header và các thẻ thống kê.</t>
  </si>
  <si>
    <t>User: Trần Minh Quang (sv001)</t>
  </si>
  <si>
    <t>Hiện lời chào 'Xin chào, [Họ tên]', ảnh Avatar cá nhân, 3 thẻ thống kê: Lớp học, Nhóm, Đề tài.</t>
  </si>
  <si>
    <t>TC_STU_002</t>
  </si>
  <si>
    <t>Lớp học phần</t>
  </si>
  <si>
    <t>Xem danh sách lớp học phần sinh viên đang theo học</t>
  </si>
  <si>
    <t>Sinh viên sv001 đã được ghi danh vào ít nhất 1 LHP.</t>
  </si>
  <si>
    <t>1. Vào tab 'Lớp học phần'.
2. Quan sát danh sách trả về từ API.</t>
  </si>
  <si>
    <t>GET /api/student/courses</t>
  </si>
  <si>
    <t>Hiển thị danh sách thẻ LHP: Mã LHP, Tên môn học, Học kỳ, Tên giảng viên phụ trách, số lượng sinh viên.</t>
  </si>
  <si>
    <t>TC_STU_003</t>
  </si>
  <si>
    <t>Xem chi tiết thông tin lớp học phần</t>
  </si>
  <si>
    <t>Đang ở danh sách LHP.</t>
  </si>
  <si>
    <t>1. Bấm vào một LHP cụ thể trong danh sách.</t>
  </si>
  <si>
    <t>LHP: Phát triển ứng dụng di động</t>
  </si>
  <si>
    <t>Mở màn hình chi tiết LHP: đợt đăng ký đồ án đang mở, thời gian bắt đầu - kết thúc, quy định số lượng thành viên.</t>
  </si>
  <si>
    <t>TC_STU_004</t>
  </si>
  <si>
    <t>Quản lý nhóm</t>
  </si>
  <si>
    <t>Xem thông tin nhóm đồ án hiện tại</t>
  </si>
  <si>
    <t>Sinh viên đã thuộc về một nhóm đồ án.</t>
  </si>
  <si>
    <t>1. Chuyển sang tab 'Nhóm'.
2. Quan sát thông tin nhóm đồ án.</t>
  </si>
  <si>
    <t>GET /api/student/groups</t>
  </si>
  <si>
    <t>Hiển thị Tên nhóm, Trưởng nhóm, danh sách các thành viên (MSSV, Họ tên), Đề tài nhóm đã đăng ký (nếu có).</t>
  </si>
  <si>
    <t>TC_STU_005</t>
  </si>
  <si>
    <t>Đổi tên nhóm đồ án thời gian thực (Trưởng nhóm)</t>
  </si>
  <si>
    <t>Tài khoản đang đăng nhập là Nhóm trưởng.</t>
  </si>
  <si>
    <t>1. Tại màn hình Nhóm, bấm icon chỉnh sửa tên nhóm.
2. Nhập tên mới: 'Nhóm AI Vô Địch 2026'.
3. Bấm 'Lưu thay đổi'.</t>
  </si>
  <si>
    <t>Tên mới: 'Nhóm AI Vô Địch 2026'</t>
  </si>
  <si>
    <t>Cập nhật tên nhóm thành công trên UI và lưu vào Backend (PUT /api/groups/{id}/name). Các thành viên khác thấy tên mới.</t>
  </si>
  <si>
    <t>TC_STU_006</t>
  </si>
  <si>
    <t>Đề tài đồ án</t>
  </si>
  <si>
    <t>Xem danh sách đề tài mở cho đợt đăng ký</t>
  </si>
  <si>
    <t>Đợt đăng ký đồ án đang ở trạng thái 'Mở'.</t>
  </si>
  <si>
    <t>1. Vào tab 'Đề tài'.
2. Quan sát danh sách đề tài có sẵn.</t>
  </si>
  <si>
    <t>GET /api/student/topics hoặc GET /api/de-tai</t>
  </si>
  <si>
    <t>Hiển thị danh sách đề tài kèm Giảng viên ra đề, mục tiêu, công nghệ yêu cầu, số nhóm tối đa được đăng ký.</t>
  </si>
  <si>
    <t>TC_STU_007</t>
  </si>
  <si>
    <t>Tìm kiếm và Lọc đề tài theo từ khóa, công nghệ</t>
  </si>
  <si>
    <t>Có ít nhất 5 đề tài khác nhau trong ngân hàng đề tài.</t>
  </si>
  <si>
    <t>1. Nhập từ khóa 'Flutter' hoặc 'AI' vào thanh tìm kiếm.
2. Lọc theo trạng thái 'Chưa có nhóm đăng ký'.</t>
  </si>
  <si>
    <t>Từ khóa: 'Flutter'</t>
  </si>
  <si>
    <t>Danh sách lập tức lọc đúng các đề tài có chứa từ khóa 'Flutter' trong tên hoặc phần công nghệ.</t>
  </si>
  <si>
    <t>TC_STU_008</t>
  </si>
  <si>
    <t>Đăng ký đề tài</t>
  </si>
  <si>
    <t>Nhóm trưởng đăng ký đề tài thành công</t>
  </si>
  <si>
    <t>Nhóm trưởng chưa đăng ký đề tài nào; nhóm đã đủ điều kiện thành viên.</t>
  </si>
  <si>
    <t>1. Chọn một đề tài còn slot đăng ký.
2. Bấm 'Đăng ký đề tài'.
3. Xác nhận trên hộp thoại.</t>
  </si>
  <si>
    <t>POST /api/dang-ky-de-tai {nhomId, deTaiId}</t>
  </si>
  <si>
    <t>Đăng ký thành công, trạng thái chuyển thành 'Chờ duyệt'. Hiển thị thông báo đăng ký thành công.</t>
  </si>
  <si>
    <t>TC_STU_009</t>
  </si>
  <si>
    <t>Không cho phép đăng ký khi nhóm đã có đề tài được duyệt</t>
  </si>
  <si>
    <t>Nhóm đã được duyệt một đề tài trước đó.</t>
  </si>
  <si>
    <t>1. Chọn một đề tài khác trong danh sách.
2. Bấm 'Đăng ký đề tài'.</t>
  </si>
  <si>
    <t>Đăng ký đè đề tài</t>
  </si>
  <si>
    <t>Nút đăng ký bị vô hiệu hóa hoặc hệ thống báo lỗi: 'Nhóm của bạn đã có đề tài chính thức được duyệt'.</t>
  </si>
  <si>
    <t>TC_STU_010</t>
  </si>
  <si>
    <t>Hủy đăng ký</t>
  </si>
  <si>
    <t>Hủy đơn đăng ký đề tài khi đang ở trạng thái 'Chờ duyệt'</t>
  </si>
  <si>
    <t>Đơn đăng ký đang ở trạng thái 'Chờ duyệt' (chưa bị duyệt/từ chối).</t>
  </si>
  <si>
    <t>1. Vào chi tiết đăng ký của nhóm.
2. Bấm nút 'Hủy đăng ký'.
3. Xác nhận.</t>
  </si>
  <si>
    <t>DELETE /api/dang-ky-de-tai/{id}</t>
  </si>
  <si>
    <t>Hủy thành công, nhóm quay về trạng thái chưa đăng ký đề tài, slot của đề tài được giải phóng.</t>
  </si>
  <si>
    <t>TC_STU_011</t>
  </si>
  <si>
    <t>Đề xuất đề tài</t>
  </si>
  <si>
    <t>Sinh viên tự đề xuất đề tài mới cho nhóm</t>
  </si>
  <si>
    <t>Đợt đăng ký cho phép sinh viên tự đề xuất đề tài.</t>
  </si>
  <si>
    <t>1. Vào mục 'Đề xuất đề tài'.
2. Nhập: Tên đề tài, Mô tả, Mục tiêu, Phạm vi, Công nghệ dự kiến.
3. Chọn Đợt đăng ký.
4. Bấm 'Gửi đề xuất'.</t>
  </si>
  <si>
    <t>POST /api/de-tai/de-xuat</t>
  </si>
  <si>
    <t>Tạo đề tài đề xuất thành công, trạng thái 'Chờ duyệt', gửi thông báo tới Giảng viên phụ trách xem xét.</t>
  </si>
  <si>
    <t>TC_STU_012</t>
  </si>
  <si>
    <t>Báo cáo tiến độ</t>
  </si>
  <si>
    <t>Nộp báo cáo tiến độ đồ án theo từng giai đoạn</t>
  </si>
  <si>
    <t>Nhóm đã có đề tài chính thức và đợt nộp báo cáo đang mở.</t>
  </si>
  <si>
    <t>1. Vào màn hình Báo cáo tiến độ.
2. Chọn mốc báo cáo (ví dụ: Tuần 4 - Khảo sát &amp; Phân tích).
3. Nhập tóm tắt công việc đã làm.
4. Đính kèm link GitHub / Google Drive tài liệu.
5. Bấm 'Nộp báo cáo'.</t>
  </si>
  <si>
    <t>Link báo cáo: https://github.com/...</t>
  </si>
  <si>
    <t>Nộp thành công, cập nhật ngày giờ nộp, trạng thái 'Đã nộp - Chờ đánh giá'.</t>
  </si>
  <si>
    <t>TC_STU_013</t>
  </si>
  <si>
    <t>Trợ lý AI Gemini</t>
  </si>
  <si>
    <t>Tư vấn gợi ý đề tài với tùy chọn số lượng (3 đề tài)</t>
  </si>
  <si>
    <t>Có kết nối mạng và API Key Gemini hợp lệ.</t>
  </si>
  <si>
    <t>1. Mở màn hình 'Trợ lý AI Đề tài'.
2. Chọn Lĩnh vực: 'Trí tuệ nhân tạo', Nền tảng: 'Mobile / Flutter'.
3. Tại mục 'Số đề tài AI tạo', chọn chip '3'.
4. Nhập thêm yêu cầu: 'Đề tài về nhận diện hình ảnh'.
5. Bấm 'Gửi yêu cầu'.</t>
  </si>
  <si>
    <t>topicCount = 3</t>
  </si>
  <si>
    <t>AI phản hồi đúng cấu trúc, gợi ý chính xác 3 đề tài kèm tên đề tài, tính cấp thiết, công nghệ đề xuất.</t>
  </si>
  <si>
    <t>TC_STU_014</t>
  </si>
  <si>
    <t>Tùy chọn số lượng đề tài lớn (5 hoặc 10 đề tài)</t>
  </si>
  <si>
    <t>Ở màn hình Trợ lý AI.</t>
  </si>
  <si>
    <t>1. Chọn số lượng đề tài là '5' (hoặc '10').
2. Bấm 'Gợi ý đề tài'.</t>
  </si>
  <si>
    <t>topicCount = 5</t>
  </si>
  <si>
    <t>AI phản hồi đầy đủ 5 đề tài được đánh số thứ tự rõ ràng, không bị ngắt quãng câu từ.</t>
  </si>
  <si>
    <t>TC_STU_015</t>
  </si>
  <si>
    <t>Thông báo</t>
  </si>
  <si>
    <t>Xem danh sách và Đánh dấu thông báo đã đọc</t>
  </si>
  <si>
    <t>Sinh viên có thông báo mới (chưa đọc) trong danh sách.</t>
  </si>
  <si>
    <t>1. Bấm vào icon chuông hoặc tab 'Thông báo'.
2. Quan sát danh sách thông báo chưa đọc (có chấm tròn nổi bật).
3. Bấm vào một thông báo để đọc.
4. Bấm nút 'Đánh dấu tất cả đã đọc'.</t>
  </si>
  <si>
    <t>PUT /api/notifications/{id}/read</t>
  </si>
  <si>
    <t>Thông báo chuyển sang trạng thái đã đọc (mất chấm tròn). Badge số lượng thông báo chưa đọc giảm về 0.</t>
  </si>
  <si>
    <t>TC_STU_016</t>
  </si>
  <si>
    <t>Làm mới thông báo bằng thao tác kéo (Pull-to-refresh)</t>
  </si>
  <si>
    <t>Đang ở màn hình Thông báo.</t>
  </si>
  <si>
    <t>1. Kéo danh sách từ trên xuống dưới (Pull-to-refresh).
2. Thả tay để reload.</t>
  </si>
  <si>
    <t>Vòng quay loading xuất hiện, gọi API GET /api/notifications lấy danh sách mới nhất và giữ nguyên trạng thái đã đọc.</t>
  </si>
  <si>
    <t>TC_STU_017</t>
  </si>
  <si>
    <t>Hồ sơ cá nhân</t>
  </si>
  <si>
    <t>Xem thông tin chi tiết sinh viên</t>
  </si>
  <si>
    <t>Đăng nhập tài khoản sv001.</t>
  </si>
  <si>
    <t>1. Vào tab 'Cá nhân'.
2. Quan sát thông tin hiển thị.</t>
  </si>
  <si>
    <t>GET /api/profile</t>
  </si>
  <si>
    <t>Hiển thị đúng MSSV, Họ tên, Ngày sinh, Giới tính, Khoa, Lớp học phần tham gia.</t>
  </si>
  <si>
    <t>TC_STU_018</t>
  </si>
  <si>
    <t>Cập nhật ảnh đại diện cá nhân (Avatar Upload)</t>
  </si>
  <si>
    <t>Thiết bị có sẵn ảnh trong thư viện.</t>
  </si>
  <si>
    <t>1. Tại trang Cá nhân, bấm vào icon máy ảnh tại Avatar.
2. Chọn ảnh từ thư viện ảnh thiết bị.
3. Xác nhận cập nhật.</t>
  </si>
  <si>
    <t>File ảnh định dạng JPG/PNG dung lượng &lt; 5MB</t>
  </si>
  <si>
    <t>Tải ảnh lên Backend (POST /api/profile/avatar), Avatar trên trang Cá nhân và Trang chủ cập nhật tức thì.</t>
  </si>
  <si>
    <t>📋 KỊCH BẢN KIỂM THỬ PHÂN HỆ GIẢNG VIÊN (LECTURER MODULE)</t>
  </si>
  <si>
    <t>TC_LEC_001</t>
  </si>
  <si>
    <t>Hiển thị thống kê tổng quan của Giảng viên</t>
  </si>
  <si>
    <t>Đăng nhập tài khoản gv001.</t>
  </si>
  <si>
    <t>1. Vào màn hình Trang chủ Giảng viên.
2. Quan sát các thẻ số liệu.</t>
  </si>
  <si>
    <t>GET /api/lecturer/statistics</t>
  </si>
  <si>
    <t>Hiển thị đúng số lớp đang phụ trách, tổng số nhóm, tổng số đề tài đã công bố, số nhóm đang chờ duyệt.</t>
  </si>
  <si>
    <t>TC_LEC_002</t>
  </si>
  <si>
    <t>Xem danh sách lớp học phần được phân công giảng dạy</t>
  </si>
  <si>
    <t>Giảng viên có ít nhất 1 LHP được phân công.</t>
  </si>
  <si>
    <t>1. Vào tab 'Lớp học phần'.
2. Xem danh sách LHP.</t>
  </si>
  <si>
    <t>GET /api/lecturer/courses</t>
  </si>
  <si>
    <t>Hiển thị danh sách LHP: Mã LHP, Tên môn, Học kỳ, Số lượng sinh viên, Đợt đăng ký đồ án tương ứng.</t>
  </si>
  <si>
    <t>TC_LEC_003</t>
  </si>
  <si>
    <t>Tạo đề tài</t>
  </si>
  <si>
    <t>Giảng viên tạo đề tài mới cho đợt đăng ký</t>
  </si>
  <si>
    <t>Có đợt đăng ký đang mở.</t>
  </si>
  <si>
    <t>1. Vào mục 'Quản lý đề tài' &gt; Bấm 'Thêm đề tài'.
2. Nhập: Tên đề tài, Mục tiêu, Phạm vi, Công nghệ đề xuất.
3. Chọn đợt đăng ký.
4. Bấm 'Tạo đề tài'.</t>
  </si>
  <si>
    <t>POST /api/de-tai</t>
  </si>
  <si>
    <t>Tạo đề tài thành công, đề tài hiển thị trong ngân hàng đề tài với trạng thái 'Đã công bố', sinh viên có thể thấy.</t>
  </si>
  <si>
    <t>TC_LEC_004</t>
  </si>
  <si>
    <t>Chỉnh sửa đề tài</t>
  </si>
  <si>
    <t>Cập nhật thông tin đề tài chưa có nhóm đăng ký</t>
  </si>
  <si>
    <t>Đề tài do giảng viên sở hữu và chưa có nhóm nào đăng ký chính thức.</t>
  </si>
  <si>
    <t>1. Chọn đề tài cần sửa.
2. Thay đổi mục tiêu và công nghệ.
3. Bấm 'Lưu thay đổi'.</t>
  </si>
  <si>
    <t>PUT /api/de-tai/{id}</t>
  </si>
  <si>
    <t>Cập nhật thông tin thành công và đồng bộ dữ liệu ngay lập tức.</t>
  </si>
  <si>
    <t>TC_LEC_005</t>
  </si>
  <si>
    <t>Xóa đề tài</t>
  </si>
  <si>
    <t>Xóa đề tài khỏi ngân hàng đề tài</t>
  </si>
  <si>
    <t>Đề tài chưa có nhóm nào đăng ký.</t>
  </si>
  <si>
    <t>1. Tại thẻ đề tài, bấm nút 'Xóa'.
2. Xác nhận xóa trên dialog.</t>
  </si>
  <si>
    <t>DELETE /api/de-tai/{id}</t>
  </si>
  <si>
    <t>Xóa thành công, đề tài biến mất khỏi danh sách của Giảng viên và danh sách hiển thị cho Sinh viên.</t>
  </si>
  <si>
    <t>TC_LEC_006</t>
  </si>
  <si>
    <t>Duyệt đề tài</t>
  </si>
  <si>
    <t>Phê duyệt đơn đăng ký đề tài của Nhóm sinh viên</t>
  </si>
  <si>
    <t>Có ít nhất 1 nhóm gửi đơn đăng ký đề tài (trạng thái 'Chờ duyệt').</t>
  </si>
  <si>
    <t>1. Vào mục 'Duyệt đăng ký đề tài'.
2. Chọn nhóm sinh viên cần duyệt.
3. Bấm nút 'Phê duyệt'.</t>
  </si>
  <si>
    <t>PUT /api/dang-ky-de-tai/{id}/duyet {chap_nhan: true}</t>
  </si>
  <si>
    <t>Đơn đăng ký chuyển sang 'Đã duyệt'. Tự động gửi thông báo chúc mừng tới tất cả thành viên trong nhóm.</t>
  </si>
  <si>
    <t>TC_LEC_007</t>
  </si>
  <si>
    <t>Từ chối đề tài</t>
  </si>
  <si>
    <t>Từ chối đơn đăng ký đề tài kèm lý do phản hồi</t>
  </si>
  <si>
    <t>Có đơn đăng ký ở trạng thái 'Chờ duyệt'.</t>
  </si>
  <si>
    <t>1. Chọn đơn đăng ký cần từ chối.
2. Bấm 'Từ chối'.
3. Nhập lý do: 'Đề tài đã đủ số lượng nhóm / Chưa phù hợp'.
4. Bấm 'Xác nhận'.</t>
  </si>
  <si>
    <t>PUT /api/dang-ky-de-tai/{id}/duyet {chap_nhan: false, ghiChu: '...'}</t>
  </si>
  <si>
    <t>Trạng thái chuyển thành 'Từ chối'. Nhóm sinh viên được giải phóng để đăng ký đề tài khác.</t>
  </si>
  <si>
    <t>TC_LEC_008</t>
  </si>
  <si>
    <t>Duyệt đề xuất</t>
  </si>
  <si>
    <t>Phê duyệt đề tài do Sinh viên tự đề xuất</t>
  </si>
  <si>
    <t>Có đề tài đề xuất từ sinh viên đang chờ duyệt.</t>
  </si>
  <si>
    <t>1. Vào mục 'Đề xuất từ sinh viên'.
2. Xem chi tiết nội dung đề xuất.
3. Bấm 'Chấp nhận đề xuất'.</t>
  </si>
  <si>
    <t>PUT /api/de-tai/{id}/duyet {chap_nhan: true}</t>
  </si>
  <si>
    <t>Đề tài được phê duyệt thành đề tài chính thức của nhóm, cập nhật vào danh sách đề tài của LHP.</t>
  </si>
  <si>
    <t>TC_LEC_009</t>
  </si>
  <si>
    <t>Chấm báo cáo</t>
  </si>
  <si>
    <t>Đánh giá và chấm điểm báo cáo tiến độ đồ án</t>
  </si>
  <si>
    <t>Nhóm sinh viên đã nộp báo cáo tiến độ.</t>
  </si>
  <si>
    <t>1. Vào mục 'Theo dõi tiến độ'.
2. Chọn báo cáo của nhóm sinh viên.
3. Xem link báo cáo đính kèm.
4. Đánh giá: Chọn 'Đạt', nhập Điểm tiến độ: 8.5 và Nhận xét.
5. Bấm 'Lưu đánh giá'.</t>
  </si>
  <si>
    <t>Điểm: 8.5 | Nhận xét: 'Tiến độ tốt, cần hoàn thiện UI'</t>
  </si>
  <si>
    <t>Lưu kết quả đánh giá thành công, sinh viên xem được điểm và nhận xét của giảng viên.</t>
  </si>
  <si>
    <t>TC_LEC_010</t>
  </si>
  <si>
    <t>Mở đợt đăng ký</t>
  </si>
  <si>
    <t>Giảng viên thiết lập đợt đăng ký đồ án mới cho LHP</t>
  </si>
  <si>
    <t>LHP chưa có đợt đăng ký hoặc đợt cũ đã đóng.</t>
  </si>
  <si>
    <t>1. Vào chi tiết LHP &gt; 'Tạo đợt đăng ký'.
2. Nhập: Tên đợt, Ngày bắt đầu, Ngày kết thúc, Số thành viên tối thiểu (2), tối đa (4).
3. Bấm 'Kích hoạt đợt'.</t>
  </si>
  <si>
    <t>POST /api/dot-dang-ky</t>
  </si>
  <si>
    <t>Tạo đợt đăng ký thành công, trạng thái 'Đang mở'. Sinh viên thuộc LHP có thể bắt đầu đăng ký nhóm và đề tài.</t>
  </si>
  <si>
    <t>TC_LEC_011</t>
  </si>
  <si>
    <t>Trợ lý AI</t>
  </si>
  <si>
    <t>Giảng viên sử dụng AI để xây dựng ngân hàng đề tài mẫu</t>
  </si>
  <si>
    <t>Tại màn hình Quản lý đề tài của Giảng viên.</t>
  </si>
  <si>
    <t>1. Bấm nút 'AI gợi ý đề tài nghiên cứu'.
2. Chọn chuyên ngành và định hướng công nghệ.
3. Chọn số lượng đề tài cần sinh.
4. Bấm 'Tạo đề tài'.</t>
  </si>
  <si>
    <t>Gemini AI Topic Generator</t>
  </si>
  <si>
    <t>AI sinh ra danh sách đề tài chuẩn mực học thuật, giảng viên có thể chọn 'Lưu vào ngân hàng đề tài' trực tiếp.</t>
  </si>
  <si>
    <t>TC_LEC_012</t>
  </si>
  <si>
    <t>Hồ sơ Giảng viên</t>
  </si>
  <si>
    <t>Xem và cập nhật thông tin học vị, chuyên môn</t>
  </si>
  <si>
    <t>Đang đăng nhập tài khoản gv001.</t>
  </si>
  <si>
    <t>1. Vào mục Cá nhân.
2. Quan sát thông tin: Mã giảng viên, Học vị, Khoa, Chuyên môn.
3. Đổi số điện thoại liên hệ.</t>
  </si>
  <si>
    <t>PUT /api/profile</t>
  </si>
  <si>
    <t>Cập nhật thành công, hiển thị chính xác thông tin giảng viên.</t>
  </si>
  <si>
    <t>📋 KỊCH BẢN KIỂM THỬ PHÂN HỆ GIÁO VỤ KHOA &amp; PHÒNG ĐÀO TẠO</t>
  </si>
  <si>
    <t>TC_GOV_001</t>
  </si>
  <si>
    <t>Giáo vụ khoa</t>
  </si>
  <si>
    <t>Xem tổng quan tình hình đào tạo đồ án toàn khoa</t>
  </si>
  <si>
    <t>Đăng nhập tài khoản gvk.demo.</t>
  </si>
  <si>
    <t>1. Vào màn hình Tổng quan Giáo vụ.
2. Xem các Stat Cards (Tổng LHP, Tổng SV, Tổng GV, Tổng nhóm).</t>
  </si>
  <si>
    <t>GET /api/admin/overview</t>
  </si>
  <si>
    <t>Số liệu hiển thị chính xác theo dữ liệu khoa, các thẻ phân màu trực quan.</t>
  </si>
  <si>
    <t>TC_GOV_002</t>
  </si>
  <si>
    <t>Xem danh mục và chi tiết các lớp học phần trong khoa</t>
  </si>
  <si>
    <t>Đăng nhập gvk.demo.</t>
  </si>
  <si>
    <t>1. Vào tab 'Quản lý LHP'.
2. Xem danh sách các LHP của khoa CNTT.</t>
  </si>
  <si>
    <t>GET /api/lop-hoc-phan</t>
  </si>
  <si>
    <t>Hiển thị đầy đủ danh sách LHP: Tên môn học, Mã lớp, Giảng viên được phân công, Tình trạng đợt đồ án.</t>
  </si>
  <si>
    <t>TC_GOV_003</t>
  </si>
  <si>
    <t>Phân công giảng viên</t>
  </si>
  <si>
    <t>Phân công giảng viên phụ trách lớp học phần</t>
  </si>
  <si>
    <t>Có LHP chưa được phân công hoặc cần bổ sung GV.</t>
  </si>
  <si>
    <t>1. Vào mục 'Phân công giảng viên'.
2. Chọn LHP: 'Phát triển ứng dụng di động'.
3. Chọn Giảng viên: 'ThS. Nguyễn Văn B'.
4. Bấm 'Xác nhận phân công'.</t>
  </si>
  <si>
    <t>POST /api/governance/assignments</t>
  </si>
  <si>
    <t>Phân công thành công, giảng viên được gán vào LHP và có quyền quản lý đợt đăng ký đồ án của lớp đó.</t>
  </si>
  <si>
    <t>TC_GOV_004</t>
  </si>
  <si>
    <t>Tra cứu dữ liệu</t>
  </si>
  <si>
    <t>Tra cứu danh sách Sinh viên và Giảng viên trong khoa</t>
  </si>
  <si>
    <t>Đang ở quyền Giáo vụ khoa.</t>
  </si>
  <si>
    <t>1. Vào mục 'Danh sách Sinh viên' / 'Danh sách Giảng viên'.
2. Thử tìm kiếm theo Mã hoặc Tên.</t>
  </si>
  <si>
    <t>GET /api/governance/students</t>
  </si>
  <si>
    <t>Danh sách tải mượt mà, hỗ trợ tìm kiếm nhanh theo từ khóa, lọc theo lớp/khoa.</t>
  </si>
  <si>
    <t>TC_GOV_005</t>
  </si>
  <si>
    <t>AI Phân tích</t>
  </si>
  <si>
    <t>Giáo vụ sử dụng AI phân tích khối lượng học vụ khoa</t>
  </si>
  <si>
    <t>Tại Dashboard Giáo vụ khoa.</t>
  </si>
  <si>
    <t>1. Xem thẻ Banner 'AI Phân tích khối lượng học vụ'.
2. Bấm 'Phân tích ngay' (hoặc 'Thử lại' nếu có lỗi mạng).</t>
  </si>
  <si>
    <t>Gemini analyzeAcademicWorkload</t>
  </si>
  <si>
    <t>AI trả về nhận định về tỷ lệ phân bổ giảng viên/sinh viên, cảnh báo lớp học phần bị quá tải hoặc thiếu đề tài.</t>
  </si>
  <si>
    <t>TC_GOV_006</t>
  </si>
  <si>
    <t>Phòng đào tạo</t>
  </si>
  <si>
    <t>Giám sát số liệu đồ án toàn trường</t>
  </si>
  <si>
    <t>Đăng nhập tài khoản pdt.demo.</t>
  </si>
  <si>
    <t>1. Vào Dashboard Phòng đào tạo.
2. Quan sát số liệu tổng thể liên khoa.</t>
  </si>
  <si>
    <t>Hiển thị tổng thể toàn trường: tổng số sinh viên làm đồ án, tổng số đề tài đã được duyệt.</t>
  </si>
  <si>
    <t>TC_GOV_007</t>
  </si>
  <si>
    <t>AI Dự báo</t>
  </si>
  <si>
    <t>Phòng đào tạo dùng AI dự báo xu hướng công nghệ đề tài</t>
  </si>
  <si>
    <t>Tại Dashboard Phòng đào tạo.</t>
  </si>
  <si>
    <t>1. Xem phân tích dự báo đào tạo từ Gemini AI.
2. Đọc các khuyến nghị phân bổ nguồn lực.</t>
  </si>
  <si>
    <t>Gemini analyzeTrainingForecast</t>
  </si>
  <si>
    <t>AI phân tích xu hướng công nghệ (Flutter, AI, Cloud...) và đưa ra dự báo số lượng nhóm cần hỗ trợ.</t>
  </si>
  <si>
    <t>📋 KỊCH BẢN KIỂM THỬ PHÂN HỆ QUẢN TRỊ VIÊN (ADMIN MODULE)</t>
  </si>
  <si>
    <t>TC_ADM_001</t>
  </si>
  <si>
    <t>Dashboard Admin</t>
  </si>
  <si>
    <t>Hiển thị thống kê tổng quan và Biểu đồ phân bổ vai trò</t>
  </si>
  <si>
    <t>Đăng nhập tài khoản admin.demo.</t>
  </si>
  <si>
    <t>1. Vào Dashboard Quản trị viên.
2. Quan sát các Stat Card số lượng người dùng.
3. Quan sát Biểu đồ thanh ngang phân bổ vai trò (Role Distribution Chart).</t>
  </si>
  <si>
    <t>GET /api/admin/overview &amp; GET /api/admin/users</t>
  </si>
  <si>
    <t>Hiển thị chuẩn xác số lượng: Sinh viên, Giảng viên, Giáo vụ, Phòng ĐT, Admin. Biểu đồ thanh ngang hiển thị % chuẩn xác kèm màu sắc phân biệt.</t>
  </si>
  <si>
    <t>TC_ADM_002</t>
  </si>
  <si>
    <t>Quản lý người dùng</t>
  </si>
  <si>
    <t>Xem danh sách và Tìm kiếm người dùng theo tên, email</t>
  </si>
  <si>
    <t>Hệ thống có danh sách người dùng.</t>
  </si>
  <si>
    <t>1. Vào tab 'Người dùng'.
2. Nhập từ khóa 'Nguyễn' vào ô tìm kiếm.
3. Lọc theo vai trò 'Sinh viên'.</t>
  </si>
  <si>
    <t>GET /api/admin/users?role=SINHVIEN&amp;search=Nguyễn</t>
  </si>
  <si>
    <t>Hiển thị đúng danh sách người dùng khớp với điều kiện tìm kiếm và bộ lọc vai trò.</t>
  </si>
  <si>
    <t>TC_ADM_003</t>
  </si>
  <si>
    <t>Thêm người dùng</t>
  </si>
  <si>
    <t>Tạo tài khoản mới thủ công thành công</t>
  </si>
  <si>
    <t>Ở màn hình Thêm người dùng.</t>
  </si>
  <si>
    <t>1. Bấm nút '+' (Thêm người dùng).
2. Nhập: Tên đăng nhập 'test_user_99', Mật khẩu '123456', Họ tên 'Người Dùng Test', Email 'test99@school.edu', Số ĐT '0912345678', Vai trò 'Sinh viên'.
3. Bấm 'Lưu người dùng'.</t>
  </si>
  <si>
    <t>POST /api/admin/users</t>
  </si>
  <si>
    <t>Tạo tài khoản thành công, xuất hiện ngay trong danh sách, có thể dùng tài khoản này đăng nhập được ngay.</t>
  </si>
  <si>
    <t>TC_ADM_004</t>
  </si>
  <si>
    <t>Báo lỗi khi tạo tài khoản có Tên đăng nhập đã tồn tại</t>
  </si>
  <si>
    <t>Tài khoản 'sv001' đã tồn tại trong DB.</t>
  </si>
  <si>
    <t>1. Nhập Tên đăng nhập là 'sv001'.
2. Nhập các thông tin khác.
3. Bấm 'Lưu người dùng'.</t>
  </si>
  <si>
    <t>Username trùng lặp</t>
  </si>
  <si>
    <t>Hệ thống báo lỗi: 'Tên đăng nhập đã tồn tại trong hệ thống', không cho phép tạo trùng lặp.</t>
  </si>
  <si>
    <t>TC_ADM_005</t>
  </si>
  <si>
    <t>Khóa / Mở tài khoản</t>
  </si>
  <si>
    <t>Khóa tài khoản người dùng (Toggle Status)</t>
  </si>
  <si>
    <t>Tài khoản đang ở trạng thái Hoạt động.</t>
  </si>
  <si>
    <t>1. Chọn một tài khoản trong danh sách.
2. Bấm nút chuyển đổi trạng thái (Toggle status) sang Khóa.
3. Xác nhận trên dialog.</t>
  </si>
  <si>
    <t>PUT /api/admin/users/{id}/toggle-status</t>
  </si>
  <si>
    <t>Trạng thái người dùng đổi thành 'Đã khóa' (màu đỏ). Thử lấy tài khoản này đăng nhập sẽ bị chặn.</t>
  </si>
  <si>
    <t>TC_ADM_006</t>
  </si>
  <si>
    <t>Mở khóa tài khoản</t>
  </si>
  <si>
    <t>Kích hoạt lại tài khoản đang bị khóa</t>
  </si>
  <si>
    <t>Tài khoản đang bị khóa.</t>
  </si>
  <si>
    <t>1. Tìm tài khoản bị khóa.
2. Bấm nút kích hoạt lại sang 'Hoạt động'.</t>
  </si>
  <si>
    <t>Toggle status sang True</t>
  </si>
  <si>
    <t>Trạng thái chuyển thành 'Hoạt động' (màu xanh). Người dùng có thể đăng nhập bình thường.</t>
  </si>
  <si>
    <t>TC_ADM_007</t>
  </si>
  <si>
    <t>Import Excel/CSV</t>
  </si>
  <si>
    <t>Tải file mẫu template Excel / CSV chuẩn</t>
  </si>
  <si>
    <t>Vào màn hình 'Import người dùng'.</t>
  </si>
  <si>
    <t>1. Tại màn hình Danh sách người dùng, bấm nút Import (icon tải lên).
2. Chọn định dạng: 'CSV' hoặc 'Excel'.
3. Bấm 'Tải file mẫu'.</t>
  </si>
  <si>
    <t>FileSaver download template</t>
  </si>
  <si>
    <t>Tải thành công file mẫu về máy tính/điện thoại với đúng các cột header: TênĐăngNhập, MậtKhẩu, HọTên, Email, SốĐiệnThoại, VaiTrò, TrạngThái kèm 1 dòng dữ liệu mẫu.</t>
  </si>
  <si>
    <t>TC_ADM_008</t>
  </si>
  <si>
    <t>Chọn file và Xem trước dữ liệu (Preview Table)</t>
  </si>
  <si>
    <t>Đã có file CSV/Excel hợp lệ trên máy.</t>
  </si>
  <si>
    <t>1. Bấm 'Chọn file từ thiết bị'.
2. Chọn file CSV/Excel chứa danh sách người dùng.
3. Quan sát bảng Preview.</t>
  </si>
  <si>
    <t>File chứa 10 người dùng mẫu</t>
  </si>
  <si>
    <t>Hệ thống parse file thành công, hiển thị bảng xem trước (Preview) 5 dòng đầu tiên với đầy đủ thông tin chuẩn hóa.</t>
  </si>
  <si>
    <t>TC_ADM_009</t>
  </si>
  <si>
    <t>Thực hiện Import hàng loạt người dùng vào CSDL</t>
  </si>
  <si>
    <t>Đã chọn file và xem trước dữ liệu thành công.</t>
  </si>
  <si>
    <t>1. Bấm nút 'Bắt đầu Import'.
2. Theo dõi tiến trình tải lên.</t>
  </si>
  <si>
    <t>Danh sách 10 tài khoản mới</t>
  </si>
  <si>
    <t>Hệ thống tự động lặp và gọi API tạo tài khoản. Báo cáo kết quả: 'X thành công, Y thất bại'. Danh sách người dùng được cập nhật đầy đủ.</t>
  </si>
  <si>
    <t>TC_ADM_010</t>
  </si>
  <si>
    <t>Xử lý khi file tải lên sai cấu trúc hoặc sai định dạng</t>
  </si>
  <si>
    <t>File văn bản không đúng chuẩn cột quy định.</t>
  </si>
  <si>
    <t>1. Chọn một file văn bản sai header hoặc file rỗng.
2. Bấm nạp file.</t>
  </si>
  <si>
    <t>File sai format</t>
  </si>
  <si>
    <t>Hiển thị thông báo lỗi rõ ràng: 'Cấu trúc file không hợp lệ. Vui lòng tải file mẫu để kiểm tra'. Không làm crash app.</t>
  </si>
  <si>
    <t>📋 KỊCH BẢN KIỂM THỬ PHI CHỨC NĂNG, BẢO MẬT &amp; HIỆU NĂNG HỆ THỐNG</t>
  </si>
  <si>
    <t>TC_NFR_001</t>
  </si>
  <si>
    <t>Bảo mật API</t>
  </si>
  <si>
    <t>Chặn truy cập vào các API yêu cầu xác thực khi không có Token</t>
  </si>
  <si>
    <t>Không gửi Authorization Bearer header.</t>
  </si>
  <si>
    <t>1. Dùng Postman hoặc trình duyệt gọi thẳng vào: GET /api/student/courses.
2. Quan sát mã phản hồi HTTP.</t>
  </si>
  <si>
    <t>GET /api/student/courses (No Token)</t>
  </si>
  <si>
    <t>Máy chủ trả về HTTP 401 Unauthorized. Không để lộ dữ liệu nhạy cảm của người dùng.</t>
  </si>
  <si>
    <t>TC_NFR_002</t>
  </si>
  <si>
    <t>Phân quyền (RBAC)</t>
  </si>
  <si>
    <t>Sinh viên không được gọi các API dành riêng cho Giảng viên/Admin</t>
  </si>
  <si>
    <t>Đăng nhập bằng tài khoản Sinh viên (sv001) lấy token.</t>
  </si>
  <si>
    <t>1. Gửi request POST /api/de-tai (Tạo đề tài của GV) kèm Token của Sinh viên.
2. Quan sát kết quả.</t>
  </si>
  <si>
    <t>Token Sinh viên gọi API Lecturer/Admin</t>
  </si>
  <si>
    <t>Máy chủ từ chối với HTTP 403 Forbidden. Đảm bảo phân quyền vai trò tuyệt đối an toàn.</t>
  </si>
  <si>
    <t>TC_NFR_003</t>
  </si>
  <si>
    <t>Xử lý mất mạng</t>
  </si>
  <si>
    <t>Ứng dụng xử lý an toàn khi mất kết nối Backend / Mất Wi-Fi</t>
  </si>
  <si>
    <t>Ngắt kết nối mạng trên điện thoại hoặc tắt Backend API.</t>
  </si>
  <si>
    <t>1. Vào màn hình Lớp học phần hoặc Đề tài.
2. Quan sát giao diện app.</t>
  </si>
  <si>
    <t>Offline Mode / Disconnected</t>
  </si>
  <si>
    <t>Không bị văng app (crash). Hiển thị giao diện báo lỗi thân thiện: 'Không thể kết nối máy chủ' kèm nút 'Thử lại'.</t>
  </si>
  <si>
    <t>TC_NFR_004</t>
  </si>
  <si>
    <t>Hiệu năng USB</t>
  </si>
  <si>
    <t>Tốc độ phản hồi API qua cầu nối USB (ADB Reverse)</t>
  </si>
  <si>
    <t>Điện thoại cắm cáp USB vào máy tính đã chạy 'adb reverse tcp:5094 tcp:5094'.</t>
  </si>
  <si>
    <t>1. Thực hiện các thao tác chuyển tab, tải danh sách LHP, đề tài.
2. Đo thời gian phản hồi.</t>
  </si>
  <si>
    <t>Cáp USB type-C tốc độ cao</t>
  </si>
  <si>
    <t>Thời gian phản hồi API trung bình &lt; 250ms, giao diện hiển thị tức thì, trải nghiệm mượt mà 60fps.</t>
  </si>
  <si>
    <t>TC_NFR_005</t>
  </si>
  <si>
    <t>Xử lý xoay màn hình</t>
  </si>
  <si>
    <t>Giao diện co giãn chuẩn khi xoay ngang / dọc điện thoại</t>
  </si>
  <si>
    <t>Mở ứng dụng trên điện thoại hoặc máy ảo.</t>
  </si>
  <si>
    <t>1. Bật chế độ tự động xoay màn hình.
2. Xoay ngang điện thoại tại màn hình Đăng nhập, Trang chủ và Báo cáo tiến độ.</t>
  </si>
  <si>
    <t>Orientation: Portrait &amp; Landscape</t>
  </si>
  <si>
    <t>Giao diện tự động co giãn bằng SingleChildScrollView, không bị lỗi tràn màn hình (RenderFlex overflowed).</t>
  </si>
  <si>
    <t>TC_NFR_006</t>
  </si>
  <si>
    <t>Sao lưu tự động</t>
  </si>
  <si>
    <t>Hệ thống tự động sao lưu CSDL SQL Server trước khi khởi động</t>
  </si>
  <si>
    <t>Chạy script start_full_system.bat tại máy chủ.</t>
  </si>
  <si>
    <t>1. Chạy start_full_system.bat.
2. Kiểm tra thư mục 'backups/'.</t>
  </si>
  <si>
    <t>backup_database.ps1</t>
  </si>
  <si>
    <t>Tạo tự động 1 bản sao lưu mới dạng .bak với timestamp trong thư mục backups, đảm bảo an toàn dữ liệu.</t>
  </si>
</sst>
</file>

<file path=xl/styles.xml><?xml version="1.0" encoding="utf-8"?>
<styleSheet xmlns="http://schemas.openxmlformats.org/spreadsheetml/2006/main">
  <numFmts count="1">
    <numFmt numFmtId="164" formatCode="0.0%"/>
  </numFmts>
  <fonts count="14">
    <font>
      <sz val="11"/>
      <color theme="1"/>
      <name val="Calibri"/>
      <family val="2"/>
      <scheme val="minor"/>
    </font>
    <font>
      <b/>
      <sz val="18"/>
      <color rgb="FFFFFFFF"/>
      <name val="Segoe UI"/>
      <family val="2"/>
    </font>
    <font>
      <i/>
      <sz val="10"/>
      <color rgb="FFE2E8F0"/>
      <name val="Segoe UI"/>
      <family val="2"/>
    </font>
    <font>
      <b/>
      <sz val="11"/>
      <color rgb="FF1E3A5F"/>
      <name val="Segoe UI"/>
      <family val="2"/>
    </font>
    <font>
      <b/>
      <sz val="10"/>
      <color rgb="FF334155"/>
      <name val="Segoe UI"/>
      <family val="2"/>
    </font>
    <font>
      <sz val="10"/>
      <color theme="1"/>
      <name val="Segoe UI"/>
      <family val="2"/>
    </font>
    <font>
      <b/>
      <sz val="10"/>
      <color rgb="FFFFFFFF"/>
      <name val="Segoe UI"/>
      <family val="2"/>
    </font>
    <font>
      <sz val="9.5"/>
      <color theme="1"/>
      <name val="Segoe UI"/>
      <family val="2"/>
    </font>
    <font>
      <b/>
      <sz val="10"/>
      <color theme="1"/>
      <name val="Segoe UI"/>
      <family val="2"/>
    </font>
    <font>
      <b/>
      <sz val="9.5"/>
      <color theme="1"/>
      <name val="Segoe UI"/>
      <family val="2"/>
    </font>
    <font>
      <b/>
      <sz val="9"/>
      <color rgb="FF991B1B"/>
      <name val="Segoe UI"/>
      <family val="2"/>
    </font>
    <font>
      <b/>
      <sz val="9"/>
      <color rgb="FFC2410C"/>
      <name val="Segoe UI"/>
      <family val="2"/>
    </font>
    <font>
      <b/>
      <sz val="9"/>
      <color rgb="FF1D4ED8"/>
      <name val="Segoe UI"/>
      <family val="2"/>
    </font>
    <font>
      <sz val="9"/>
      <color rgb="FF475569"/>
      <name val="Segoe UI"/>
      <family val="2"/>
    </font>
  </fonts>
  <fills count="9">
    <fill>
      <patternFill patternType="none"/>
    </fill>
    <fill>
      <patternFill patternType="gray125"/>
    </fill>
    <fill>
      <patternFill patternType="solid">
        <fgColor rgb="FF1E3A5F"/>
        <bgColor indexed="64"/>
      </patternFill>
    </fill>
    <fill>
      <patternFill patternType="solid">
        <fgColor rgb="FFE2E8F0"/>
        <bgColor indexed="64"/>
      </patternFill>
    </fill>
    <fill>
      <patternFill patternType="solid">
        <fgColor rgb="FFF1F5F9"/>
        <bgColor indexed="64"/>
      </patternFill>
    </fill>
    <fill>
      <patternFill patternType="solid">
        <fgColor rgb="FFFEE2E2"/>
        <bgColor indexed="64"/>
      </patternFill>
    </fill>
    <fill>
      <patternFill patternType="solid">
        <fgColor rgb="FFF8FAFC"/>
        <bgColor indexed="64"/>
      </patternFill>
    </fill>
    <fill>
      <patternFill patternType="solid">
        <fgColor rgb="FFFFEDD5"/>
        <bgColor indexed="64"/>
      </patternFill>
    </fill>
    <fill>
      <patternFill patternType="solid">
        <fgColor rgb="FFDBEAFE"/>
        <bgColor indexed="64"/>
      </patternFill>
    </fill>
  </fills>
  <borders count="5">
    <border>
      <left/>
      <right/>
      <top/>
      <bottom/>
      <diagonal/>
    </border>
    <border>
      <left/>
      <right/>
      <top/>
      <bottom style="medium">
        <color rgb="FF1E3A5F"/>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xf>
    <xf numFmtId="0" fontId="3" fillId="3" borderId="1" xfId="0" applyFont="1" applyFill="1" applyBorder="1" applyAlignment="1">
      <alignment vertical="center"/>
    </xf>
    <xf numFmtId="0" fontId="4" fillId="4" borderId="2" xfId="0" applyFont="1" applyFill="1" applyBorder="1" applyAlignment="1">
      <alignment vertical="center"/>
    </xf>
    <xf numFmtId="0" fontId="5" fillId="0" borderId="2" xfId="0" applyFont="1" applyBorder="1" applyAlignment="1">
      <alignment vertical="center"/>
    </xf>
    <xf numFmtId="0" fontId="6" fillId="2" borderId="2" xfId="0" applyFont="1" applyFill="1" applyBorder="1" applyAlignment="1">
      <alignment horizontal="center" vertical="center" wrapText="1"/>
    </xf>
    <xf numFmtId="0" fontId="7" fillId="0" borderId="3" xfId="0" applyFont="1" applyBorder="1" applyAlignment="1">
      <alignment horizontal="center" vertical="center"/>
    </xf>
    <xf numFmtId="0" fontId="7" fillId="0" borderId="3" xfId="0" applyFont="1" applyBorder="1" applyAlignment="1">
      <alignment vertical="center" wrapText="1"/>
    </xf>
    <xf numFmtId="0" fontId="8" fillId="0" borderId="2" xfId="0" applyFont="1" applyBorder="1" applyAlignment="1">
      <alignment horizontal="center" vertical="center"/>
    </xf>
    <xf numFmtId="164" fontId="9" fillId="0" borderId="2" xfId="0" applyNumberFormat="1" applyFont="1" applyBorder="1" applyAlignment="1">
      <alignment horizontal="center" vertical="center"/>
    </xf>
    <xf numFmtId="164" fontId="6" fillId="2" borderId="4" xfId="0" applyNumberFormat="1" applyFont="1" applyFill="1" applyBorder="1" applyAlignment="1">
      <alignment horizontal="center" vertical="center"/>
    </xf>
    <xf numFmtId="0" fontId="10" fillId="5" borderId="3"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3" xfId="0" applyFont="1" applyFill="1" applyBorder="1" applyAlignment="1">
      <alignment vertical="center" wrapText="1"/>
    </xf>
    <xf numFmtId="0" fontId="11" fillId="7" borderId="3" xfId="0" applyFont="1" applyFill="1" applyBorder="1" applyAlignment="1">
      <alignment horizontal="center" vertical="center"/>
    </xf>
    <xf numFmtId="0" fontId="12" fillId="8" borderId="3" xfId="0" applyFont="1" applyFill="1" applyBorder="1" applyAlignment="1">
      <alignment horizontal="center" vertical="center"/>
    </xf>
    <xf numFmtId="0" fontId="13" fillId="4"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E3A5F"/>
  </sheetPr>
  <dimension ref="B2:I30"/>
  <sheetViews>
    <sheetView tabSelected="1" workbookViewId="0"/>
  </sheetViews>
  <sheetFormatPr defaultRowHeight="15"/>
  <cols>
    <col min="1" max="1" width="4.7109375" customWidth="1"/>
    <col min="2" max="2" width="28.7109375" customWidth="1"/>
    <col min="3" max="3" width="36.7109375" customWidth="1"/>
    <col min="4" max="7" width="15.7109375" customWidth="1"/>
    <col min="8" max="8" width="18.7109375" customWidth="1"/>
  </cols>
  <sheetData>
    <row r="2" spans="2:8" ht="35" customHeight="1">
      <c r="B2" s="1" t="s">
        <v>0</v>
      </c>
      <c r="C2" s="1"/>
      <c r="D2" s="1"/>
      <c r="E2" s="1"/>
      <c r="F2" s="1"/>
      <c r="G2" s="1"/>
      <c r="H2" s="1"/>
    </row>
    <row r="3" spans="2:8" ht="20" customHeight="1">
      <c r="B3" s="2" t="s">
        <v>1</v>
      </c>
      <c r="C3" s="2"/>
      <c r="D3" s="2"/>
      <c r="E3" s="2"/>
      <c r="F3" s="2"/>
      <c r="G3" s="2"/>
      <c r="H3" s="2"/>
    </row>
    <row r="5" spans="2:8">
      <c r="B5" s="3" t="s">
        <v>2</v>
      </c>
      <c r="C5" s="3"/>
    </row>
    <row r="6" spans="2:8">
      <c r="B6" s="4" t="s">
        <v>3</v>
      </c>
      <c r="C6" s="5" t="s">
        <v>4</v>
      </c>
    </row>
    <row r="7" spans="2:8">
      <c r="B7" s="4" t="s">
        <v>5</v>
      </c>
      <c r="C7" s="5" t="s">
        <v>6</v>
      </c>
    </row>
    <row r="8" spans="2:8">
      <c r="B8" s="4" t="s">
        <v>7</v>
      </c>
      <c r="C8" s="5" t="s">
        <v>8</v>
      </c>
    </row>
    <row r="9" spans="2:8">
      <c r="B9" s="4" t="s">
        <v>9</v>
      </c>
      <c r="C9" s="5" t="s">
        <v>10</v>
      </c>
    </row>
    <row r="10" spans="2:8">
      <c r="B10" s="4" t="s">
        <v>11</v>
      </c>
      <c r="C10" s="5" t="s">
        <v>12</v>
      </c>
    </row>
    <row r="11" spans="2:8">
      <c r="B11" s="4" t="s">
        <v>13</v>
      </c>
      <c r="C11" s="5" t="s">
        <v>14</v>
      </c>
    </row>
    <row r="12" spans="2:8">
      <c r="B12" s="4" t="s">
        <v>15</v>
      </c>
      <c r="C12" s="5" t="s">
        <v>16</v>
      </c>
    </row>
    <row r="13" spans="2:8">
      <c r="B13" s="4" t="s">
        <v>17</v>
      </c>
      <c r="C13" s="5" t="s">
        <v>18</v>
      </c>
    </row>
    <row r="15" spans="2:8">
      <c r="B15" s="3" t="s">
        <v>19</v>
      </c>
      <c r="C15" s="3"/>
      <c r="D15" s="3"/>
      <c r="E15" s="3"/>
      <c r="F15" s="3"/>
      <c r="G15" s="3"/>
      <c r="H15" s="3"/>
    </row>
    <row r="17" spans="2:9">
      <c r="B17" s="6" t="s">
        <v>20</v>
      </c>
      <c r="C17" s="6" t="s">
        <v>21</v>
      </c>
      <c r="D17" s="6" t="s">
        <v>22</v>
      </c>
      <c r="E17" s="6" t="s">
        <v>23</v>
      </c>
      <c r="F17" s="6" t="s">
        <v>24</v>
      </c>
      <c r="G17" s="6" t="s">
        <v>25</v>
      </c>
      <c r="H17" s="6" t="s">
        <v>26</v>
      </c>
      <c r="I17" s="6" t="s">
        <v>27</v>
      </c>
    </row>
    <row r="18" spans="2:9">
      <c r="B18" s="7" t="s">
        <v>28</v>
      </c>
      <c r="C18" s="8" t="s">
        <v>29</v>
      </c>
      <c r="D18" s="9">
        <v>18</v>
      </c>
      <c r="E18" s="7">
        <v>0</v>
      </c>
      <c r="F18" s="7">
        <v>0</v>
      </c>
      <c r="G18" s="7">
        <v>0</v>
      </c>
      <c r="H18" s="7">
        <v>18</v>
      </c>
      <c r="I18" s="10">
        <f>IF(D18&gt;0, E18/D18, 0)</f>
        <v>0</v>
      </c>
    </row>
    <row r="19" spans="2:9">
      <c r="B19" s="7" t="s">
        <v>30</v>
      </c>
      <c r="C19" s="8" t="s">
        <v>31</v>
      </c>
      <c r="D19" s="9">
        <v>28</v>
      </c>
      <c r="E19" s="7">
        <v>0</v>
      </c>
      <c r="F19" s="7">
        <v>0</v>
      </c>
      <c r="G19" s="7">
        <v>0</v>
      </c>
      <c r="H19" s="7">
        <v>28</v>
      </c>
      <c r="I19" s="10">
        <f>IF(D19&gt;0, E19/D19, 0)</f>
        <v>0</v>
      </c>
    </row>
    <row r="20" spans="2:9">
      <c r="B20" s="7" t="s">
        <v>32</v>
      </c>
      <c r="C20" s="8" t="s">
        <v>33</v>
      </c>
      <c r="D20" s="9">
        <v>24</v>
      </c>
      <c r="E20" s="7">
        <v>0</v>
      </c>
      <c r="F20" s="7">
        <v>0</v>
      </c>
      <c r="G20" s="7">
        <v>0</v>
      </c>
      <c r="H20" s="7">
        <v>24</v>
      </c>
      <c r="I20" s="10">
        <f>IF(D20&gt;0, E20/D20, 0)</f>
        <v>0</v>
      </c>
    </row>
    <row r="21" spans="2:9">
      <c r="B21" s="7" t="s">
        <v>34</v>
      </c>
      <c r="C21" s="8" t="s">
        <v>35</v>
      </c>
      <c r="D21" s="9">
        <v>14</v>
      </c>
      <c r="E21" s="7">
        <v>0</v>
      </c>
      <c r="F21" s="7">
        <v>0</v>
      </c>
      <c r="G21" s="7">
        <v>0</v>
      </c>
      <c r="H21" s="7">
        <v>14</v>
      </c>
      <c r="I21" s="10">
        <f>IF(D21&gt;0, E21/D21, 0)</f>
        <v>0</v>
      </c>
    </row>
    <row r="22" spans="2:9">
      <c r="B22" s="7" t="s">
        <v>36</v>
      </c>
      <c r="C22" s="8" t="s">
        <v>37</v>
      </c>
      <c r="D22" s="9">
        <v>16</v>
      </c>
      <c r="E22" s="7">
        <v>0</v>
      </c>
      <c r="F22" s="7">
        <v>0</v>
      </c>
      <c r="G22" s="7">
        <v>0</v>
      </c>
      <c r="H22" s="7">
        <v>16</v>
      </c>
      <c r="I22" s="10">
        <f>IF(D22&gt;0, E22/D22, 0)</f>
        <v>0</v>
      </c>
    </row>
    <row r="23" spans="2:9">
      <c r="B23" s="7" t="s">
        <v>38</v>
      </c>
      <c r="C23" s="8" t="s">
        <v>39</v>
      </c>
      <c r="D23" s="9">
        <v>12</v>
      </c>
      <c r="E23" s="7">
        <v>0</v>
      </c>
      <c r="F23" s="7">
        <v>0</v>
      </c>
      <c r="G23" s="7">
        <v>0</v>
      </c>
      <c r="H23" s="7">
        <v>12</v>
      </c>
      <c r="I23" s="10">
        <f>IF(D23&gt;0, E23/D23, 0)</f>
        <v>0</v>
      </c>
    </row>
    <row r="24" spans="2:9">
      <c r="B24" s="6" t="s">
        <v>40</v>
      </c>
      <c r="C24" s="6"/>
      <c r="D24" s="6">
        <f>SUM(D18:D23)</f>
        <v>0</v>
      </c>
      <c r="E24" s="6">
        <f>SUM(E18:E23)</f>
        <v>0</v>
      </c>
      <c r="F24" s="6">
        <f>SUM(F18:F23)</f>
        <v>0</v>
      </c>
      <c r="G24" s="6">
        <f>SUM(G18:G23)</f>
        <v>0</v>
      </c>
      <c r="H24" s="6">
        <f>SUM(H18:H23)</f>
        <v>0</v>
      </c>
      <c r="I24" s="11">
        <f>IF(D24&gt;0, E24/D24, 0)</f>
        <v>0</v>
      </c>
    </row>
    <row r="26" spans="2:9">
      <c r="B26" s="3" t="s">
        <v>41</v>
      </c>
      <c r="C26" s="3"/>
      <c r="D26" s="3"/>
      <c r="E26" s="3"/>
      <c r="F26" s="3"/>
      <c r="G26" s="3"/>
      <c r="H26" s="3"/>
      <c r="I26" s="3"/>
    </row>
    <row r="27" spans="2:9">
      <c r="B27" s="4" t="s">
        <v>42</v>
      </c>
      <c r="C27" s="5" t="s">
        <v>43</v>
      </c>
      <c r="D27" s="5"/>
      <c r="E27" s="5"/>
      <c r="F27" s="5"/>
      <c r="G27" s="5"/>
      <c r="H27" s="5"/>
      <c r="I27" s="5"/>
    </row>
    <row r="28" spans="2:9">
      <c r="B28" s="4" t="s">
        <v>44</v>
      </c>
      <c r="C28" s="5" t="s">
        <v>45</v>
      </c>
      <c r="D28" s="5"/>
      <c r="E28" s="5"/>
      <c r="F28" s="5"/>
      <c r="G28" s="5"/>
      <c r="H28" s="5"/>
      <c r="I28" s="5"/>
    </row>
    <row r="29" spans="2:9">
      <c r="B29" s="4" t="s">
        <v>46</v>
      </c>
      <c r="C29" s="5" t="s">
        <v>47</v>
      </c>
      <c r="D29" s="5"/>
      <c r="E29" s="5"/>
      <c r="F29" s="5"/>
      <c r="G29" s="5"/>
      <c r="H29" s="5"/>
      <c r="I29" s="5"/>
    </row>
    <row r="30" spans="2:9">
      <c r="B30" s="4" t="s">
        <v>48</v>
      </c>
      <c r="C30" s="5" t="s">
        <v>49</v>
      </c>
      <c r="D30" s="5"/>
      <c r="E30" s="5"/>
      <c r="F30" s="5"/>
      <c r="G30" s="5"/>
      <c r="H30" s="5"/>
      <c r="I30" s="5"/>
    </row>
  </sheetData>
  <mergeCells count="10">
    <mergeCell ref="B2:H2"/>
    <mergeCell ref="B3:H3"/>
    <mergeCell ref="B5:C5"/>
    <mergeCell ref="B15:H15"/>
    <mergeCell ref="B24:C24"/>
    <mergeCell ref="B26:I26"/>
    <mergeCell ref="C27:I27"/>
    <mergeCell ref="C28:I28"/>
    <mergeCell ref="C29:I29"/>
    <mergeCell ref="C30:I30"/>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E3A5F"/>
  </sheetPr>
  <dimension ref="A1:N17"/>
  <sheetViews>
    <sheetView workbookViewId="0">
      <pane xSplit="2" ySplit="2" topLeftCell="C3" activePane="bottomRight" state="frozen"/>
      <selection pane="topRight" activeCell="C1" sqref="C1"/>
      <selection pane="bottomLeft" activeCell="A3" sqref="A3"/>
      <selection pane="bottomRight"/>
    </sheetView>
  </sheetViews>
  <sheetFormatPr defaultRowHeight="15"/>
  <cols>
    <col min="1" max="1" width="14.7109375" customWidth="1"/>
    <col min="2" max="2" width="20.7109375" customWidth="1"/>
    <col min="3" max="3" width="28.7109375" customWidth="1"/>
    <col min="4" max="4" width="24.7109375" customWidth="1"/>
    <col min="5" max="5" width="32.7109375" customWidth="1"/>
    <col min="6" max="6" width="22.7109375" customWidth="1"/>
    <col min="7" max="7" width="32.7109375" customWidth="1"/>
    <col min="8" max="8" width="12.7109375" customWidth="1"/>
    <col min="9" max="9" width="10.7109375" customWidth="1"/>
    <col min="10" max="10" width="25.7109375" customWidth="1"/>
    <col min="11" max="11" width="12.7109375" customWidth="1"/>
    <col min="12" max="12" width="20.7109375" customWidth="1"/>
    <col min="13" max="13" width="14.7109375" customWidth="1"/>
    <col min="14" max="14" width="13.7109375" customWidth="1"/>
  </cols>
  <sheetData>
    <row r="1" spans="1:14" ht="32" customHeight="1">
      <c r="A1" s="1" t="s">
        <v>50</v>
      </c>
      <c r="B1" s="1"/>
      <c r="C1" s="1"/>
      <c r="D1" s="1"/>
      <c r="E1" s="1"/>
      <c r="F1" s="1"/>
      <c r="G1" s="1"/>
      <c r="H1" s="1"/>
      <c r="I1" s="1"/>
      <c r="J1" s="1"/>
      <c r="K1" s="1"/>
      <c r="L1" s="1"/>
      <c r="M1" s="1"/>
      <c r="N1" s="1"/>
    </row>
    <row r="2" spans="1:14" ht="28" customHeight="1">
      <c r="A2" s="6" t="s">
        <v>51</v>
      </c>
      <c r="B2" s="6" t="s">
        <v>52</v>
      </c>
      <c r="C2" s="6" t="s">
        <v>53</v>
      </c>
      <c r="D2" s="6" t="s">
        <v>54</v>
      </c>
      <c r="E2" s="6" t="s">
        <v>55</v>
      </c>
      <c r="F2" s="6" t="s">
        <v>56</v>
      </c>
      <c r="G2" s="6" t="s">
        <v>57</v>
      </c>
      <c r="H2" s="6" t="s">
        <v>58</v>
      </c>
      <c r="I2" s="6" t="s">
        <v>59</v>
      </c>
      <c r="J2" s="6" t="s">
        <v>60</v>
      </c>
      <c r="K2" s="6" t="s">
        <v>61</v>
      </c>
      <c r="L2" s="6" t="s">
        <v>62</v>
      </c>
      <c r="M2" s="6" t="s">
        <v>63</v>
      </c>
      <c r="N2" s="6" t="s">
        <v>64</v>
      </c>
    </row>
    <row r="3" spans="1:14" ht="45" customHeight="1">
      <c r="A3" s="7" t="s">
        <v>65</v>
      </c>
      <c r="B3" s="8" t="s">
        <v>66</v>
      </c>
      <c r="C3" s="8" t="s">
        <v>67</v>
      </c>
      <c r="D3" s="8" t="s">
        <v>68</v>
      </c>
      <c r="E3" s="8" t="s">
        <v>69</v>
      </c>
      <c r="F3" s="8" t="s">
        <v>70</v>
      </c>
      <c r="G3" s="8" t="s">
        <v>71</v>
      </c>
      <c r="H3" s="12" t="s">
        <v>72</v>
      </c>
      <c r="I3" s="7" t="s">
        <v>73</v>
      </c>
      <c r="J3" s="8"/>
      <c r="K3" s="7"/>
      <c r="L3" s="8"/>
      <c r="M3" s="7"/>
      <c r="N3" s="7"/>
    </row>
    <row r="4" spans="1:14" ht="45" customHeight="1">
      <c r="A4" s="13" t="s">
        <v>74</v>
      </c>
      <c r="B4" s="14" t="s">
        <v>66</v>
      </c>
      <c r="C4" s="14" t="s">
        <v>75</v>
      </c>
      <c r="D4" s="14" t="s">
        <v>76</v>
      </c>
      <c r="E4" s="14" t="s">
        <v>77</v>
      </c>
      <c r="F4" s="14" t="s">
        <v>78</v>
      </c>
      <c r="G4" s="14" t="s">
        <v>79</v>
      </c>
      <c r="H4" s="12" t="s">
        <v>72</v>
      </c>
      <c r="I4" s="13" t="s">
        <v>73</v>
      </c>
      <c r="J4" s="14"/>
      <c r="K4" s="13"/>
      <c r="L4" s="14"/>
      <c r="M4" s="13"/>
      <c r="N4" s="13"/>
    </row>
    <row r="5" spans="1:14" ht="45" customHeight="1">
      <c r="A5" s="7" t="s">
        <v>80</v>
      </c>
      <c r="B5" s="8" t="s">
        <v>66</v>
      </c>
      <c r="C5" s="8" t="s">
        <v>81</v>
      </c>
      <c r="D5" s="8" t="s">
        <v>76</v>
      </c>
      <c r="E5" s="8" t="s">
        <v>82</v>
      </c>
      <c r="F5" s="8" t="s">
        <v>83</v>
      </c>
      <c r="G5" s="8" t="s">
        <v>84</v>
      </c>
      <c r="H5" s="12" t="s">
        <v>72</v>
      </c>
      <c r="I5" s="7" t="s">
        <v>73</v>
      </c>
      <c r="J5" s="8"/>
      <c r="K5" s="7"/>
      <c r="L5" s="8"/>
      <c r="M5" s="7"/>
      <c r="N5" s="7"/>
    </row>
    <row r="6" spans="1:14" ht="45" customHeight="1">
      <c r="A6" s="13" t="s">
        <v>85</v>
      </c>
      <c r="B6" s="14" t="s">
        <v>66</v>
      </c>
      <c r="C6" s="14" t="s">
        <v>86</v>
      </c>
      <c r="D6" s="14" t="s">
        <v>76</v>
      </c>
      <c r="E6" s="14" t="s">
        <v>87</v>
      </c>
      <c r="F6" s="14" t="s">
        <v>88</v>
      </c>
      <c r="G6" s="14" t="s">
        <v>89</v>
      </c>
      <c r="H6" s="15" t="s">
        <v>90</v>
      </c>
      <c r="I6" s="13" t="s">
        <v>73</v>
      </c>
      <c r="J6" s="14"/>
      <c r="K6" s="13"/>
      <c r="L6" s="14"/>
      <c r="M6" s="13"/>
      <c r="N6" s="13"/>
    </row>
    <row r="7" spans="1:14" ht="45" customHeight="1">
      <c r="A7" s="7" t="s">
        <v>91</v>
      </c>
      <c r="B7" s="8" t="s">
        <v>66</v>
      </c>
      <c r="C7" s="8" t="s">
        <v>92</v>
      </c>
      <c r="D7" s="8" t="s">
        <v>76</v>
      </c>
      <c r="E7" s="8" t="s">
        <v>93</v>
      </c>
      <c r="F7" s="8" t="s">
        <v>94</v>
      </c>
      <c r="G7" s="8" t="s">
        <v>95</v>
      </c>
      <c r="H7" s="16" t="s">
        <v>96</v>
      </c>
      <c r="I7" s="7" t="s">
        <v>97</v>
      </c>
      <c r="J7" s="8"/>
      <c r="K7" s="7"/>
      <c r="L7" s="8"/>
      <c r="M7" s="7"/>
      <c r="N7" s="7"/>
    </row>
    <row r="8" spans="1:14" ht="45" customHeight="1">
      <c r="A8" s="13" t="s">
        <v>98</v>
      </c>
      <c r="B8" s="14" t="s">
        <v>66</v>
      </c>
      <c r="C8" s="14" t="s">
        <v>99</v>
      </c>
      <c r="D8" s="14" t="s">
        <v>100</v>
      </c>
      <c r="E8" s="14" t="s">
        <v>101</v>
      </c>
      <c r="F8" s="14" t="s">
        <v>102</v>
      </c>
      <c r="G8" s="14" t="s">
        <v>103</v>
      </c>
      <c r="H8" s="15" t="s">
        <v>90</v>
      </c>
      <c r="I8" s="13" t="s">
        <v>73</v>
      </c>
      <c r="J8" s="14"/>
      <c r="K8" s="13"/>
      <c r="L8" s="14"/>
      <c r="M8" s="13"/>
      <c r="N8" s="13"/>
    </row>
    <row r="9" spans="1:14" ht="45" customHeight="1">
      <c r="A9" s="7" t="s">
        <v>104</v>
      </c>
      <c r="B9" s="8" t="s">
        <v>66</v>
      </c>
      <c r="C9" s="8" t="s">
        <v>105</v>
      </c>
      <c r="D9" s="8" t="s">
        <v>106</v>
      </c>
      <c r="E9" s="8" t="s">
        <v>107</v>
      </c>
      <c r="F9" s="8" t="s">
        <v>108</v>
      </c>
      <c r="G9" s="8" t="s">
        <v>109</v>
      </c>
      <c r="H9" s="15" t="s">
        <v>90</v>
      </c>
      <c r="I9" s="7" t="s">
        <v>73</v>
      </c>
      <c r="J9" s="8"/>
      <c r="K9" s="7"/>
      <c r="L9" s="8"/>
      <c r="M9" s="7"/>
      <c r="N9" s="7"/>
    </row>
    <row r="10" spans="1:14" ht="45" customHeight="1">
      <c r="A10" s="13" t="s">
        <v>110</v>
      </c>
      <c r="B10" s="14" t="s">
        <v>111</v>
      </c>
      <c r="C10" s="14" t="s">
        <v>112</v>
      </c>
      <c r="D10" s="14" t="s">
        <v>113</v>
      </c>
      <c r="E10" s="14" t="s">
        <v>114</v>
      </c>
      <c r="F10" s="14" t="s">
        <v>115</v>
      </c>
      <c r="G10" s="14" t="s">
        <v>116</v>
      </c>
      <c r="H10" s="17" t="s">
        <v>117</v>
      </c>
      <c r="I10" s="13" t="s">
        <v>118</v>
      </c>
      <c r="J10" s="14"/>
      <c r="K10" s="13"/>
      <c r="L10" s="14"/>
      <c r="M10" s="13"/>
      <c r="N10" s="13"/>
    </row>
    <row r="11" spans="1:14" ht="45" customHeight="1">
      <c r="A11" s="7" t="s">
        <v>119</v>
      </c>
      <c r="B11" s="8" t="s">
        <v>120</v>
      </c>
      <c r="C11" s="8" t="s">
        <v>121</v>
      </c>
      <c r="D11" s="8" t="s">
        <v>122</v>
      </c>
      <c r="E11" s="8" t="s">
        <v>123</v>
      </c>
      <c r="F11" s="8" t="s">
        <v>124</v>
      </c>
      <c r="G11" s="8" t="s">
        <v>125</v>
      </c>
      <c r="H11" s="15" t="s">
        <v>90</v>
      </c>
      <c r="I11" s="7" t="s">
        <v>97</v>
      </c>
      <c r="J11" s="8"/>
      <c r="K11" s="7"/>
      <c r="L11" s="8"/>
      <c r="M11" s="7"/>
      <c r="N11" s="7"/>
    </row>
    <row r="12" spans="1:14" ht="45" customHeight="1">
      <c r="A12" s="13" t="s">
        <v>126</v>
      </c>
      <c r="B12" s="14" t="s">
        <v>127</v>
      </c>
      <c r="C12" s="14" t="s">
        <v>128</v>
      </c>
      <c r="D12" s="14" t="s">
        <v>129</v>
      </c>
      <c r="E12" s="14" t="s">
        <v>130</v>
      </c>
      <c r="F12" s="14" t="s">
        <v>131</v>
      </c>
      <c r="G12" s="14" t="s">
        <v>132</v>
      </c>
      <c r="H12" s="12" t="s">
        <v>72</v>
      </c>
      <c r="I12" s="13" t="s">
        <v>73</v>
      </c>
      <c r="J12" s="14"/>
      <c r="K12" s="13"/>
      <c r="L12" s="14"/>
      <c r="M12" s="13"/>
      <c r="N12" s="13"/>
    </row>
    <row r="13" spans="1:14" ht="45" customHeight="1">
      <c r="A13" s="7" t="s">
        <v>133</v>
      </c>
      <c r="B13" s="8" t="s">
        <v>134</v>
      </c>
      <c r="C13" s="8" t="s">
        <v>135</v>
      </c>
      <c r="D13" s="8" t="s">
        <v>136</v>
      </c>
      <c r="E13" s="8" t="s">
        <v>137</v>
      </c>
      <c r="F13" s="8" t="s">
        <v>138</v>
      </c>
      <c r="G13" s="8" t="s">
        <v>139</v>
      </c>
      <c r="H13" s="15" t="s">
        <v>90</v>
      </c>
      <c r="I13" s="7" t="s">
        <v>73</v>
      </c>
      <c r="J13" s="8"/>
      <c r="K13" s="7"/>
      <c r="L13" s="8"/>
      <c r="M13" s="7"/>
      <c r="N13" s="7"/>
    </row>
    <row r="14" spans="1:14" ht="45" customHeight="1">
      <c r="A14" s="13" t="s">
        <v>140</v>
      </c>
      <c r="B14" s="14" t="s">
        <v>141</v>
      </c>
      <c r="C14" s="14" t="s">
        <v>142</v>
      </c>
      <c r="D14" s="14" t="s">
        <v>143</v>
      </c>
      <c r="E14" s="14" t="s">
        <v>144</v>
      </c>
      <c r="F14" s="14" t="s">
        <v>131</v>
      </c>
      <c r="G14" s="14" t="s">
        <v>145</v>
      </c>
      <c r="H14" s="16" t="s">
        <v>96</v>
      </c>
      <c r="I14" s="13" t="s">
        <v>97</v>
      </c>
      <c r="J14" s="14"/>
      <c r="K14" s="13"/>
      <c r="L14" s="14"/>
      <c r="M14" s="13"/>
      <c r="N14" s="13"/>
    </row>
    <row r="15" spans="1:14" ht="45" customHeight="1">
      <c r="A15" s="7" t="s">
        <v>146</v>
      </c>
      <c r="B15" s="8" t="s">
        <v>147</v>
      </c>
      <c r="C15" s="8" t="s">
        <v>148</v>
      </c>
      <c r="D15" s="8" t="s">
        <v>149</v>
      </c>
      <c r="E15" s="8" t="s">
        <v>150</v>
      </c>
      <c r="F15" s="8" t="s">
        <v>151</v>
      </c>
      <c r="G15" s="8" t="s">
        <v>152</v>
      </c>
      <c r="H15" s="16" t="s">
        <v>96</v>
      </c>
      <c r="I15" s="7" t="s">
        <v>97</v>
      </c>
      <c r="J15" s="8"/>
      <c r="K15" s="7"/>
      <c r="L15" s="8"/>
      <c r="M15" s="7"/>
      <c r="N15" s="7"/>
    </row>
    <row r="16" spans="1:14" ht="45" customHeight="1">
      <c r="A16" s="13" t="s">
        <v>153</v>
      </c>
      <c r="B16" s="14" t="s">
        <v>154</v>
      </c>
      <c r="C16" s="14" t="s">
        <v>155</v>
      </c>
      <c r="D16" s="14" t="s">
        <v>156</v>
      </c>
      <c r="E16" s="14" t="s">
        <v>157</v>
      </c>
      <c r="F16" s="14" t="s">
        <v>158</v>
      </c>
      <c r="G16" s="14" t="s">
        <v>159</v>
      </c>
      <c r="H16" s="16" t="s">
        <v>96</v>
      </c>
      <c r="I16" s="13" t="s">
        <v>97</v>
      </c>
      <c r="J16" s="14"/>
      <c r="K16" s="13"/>
      <c r="L16" s="14"/>
      <c r="M16" s="13"/>
      <c r="N16" s="13"/>
    </row>
    <row r="17" spans="1:14" ht="45" customHeight="1">
      <c r="A17" s="7" t="s">
        <v>160</v>
      </c>
      <c r="B17" s="8" t="s">
        <v>161</v>
      </c>
      <c r="C17" s="8" t="s">
        <v>162</v>
      </c>
      <c r="D17" s="8" t="s">
        <v>163</v>
      </c>
      <c r="E17" s="8" t="s">
        <v>164</v>
      </c>
      <c r="F17" s="8" t="s">
        <v>165</v>
      </c>
      <c r="G17" s="8" t="s">
        <v>166</v>
      </c>
      <c r="H17" s="16" t="s">
        <v>96</v>
      </c>
      <c r="I17" s="7" t="s">
        <v>118</v>
      </c>
      <c r="J17" s="8"/>
      <c r="K17" s="7"/>
      <c r="L17" s="8"/>
      <c r="M17" s="7"/>
      <c r="N17" s="7"/>
    </row>
  </sheetData>
  <mergeCells count="1">
    <mergeCell ref="A1:N1"/>
  </mergeCells>
  <dataValidations count="1">
    <dataValidation type="list" allowBlank="1" showInputMessage="1" showErrorMessage="1" promptTitle="Trạng thái Test" prompt="Chọn: Pass, Fail, Blocked hoặc Untested" sqref="K3:K17">
      <formula1>"Pass,Fail,Blocked,Untested"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02569B"/>
  </sheetPr>
  <dimension ref="A1:N20"/>
  <sheetViews>
    <sheetView workbookViewId="0">
      <pane xSplit="2" ySplit="2" topLeftCell="C3" activePane="bottomRight" state="frozen"/>
      <selection pane="topRight" activeCell="C1" sqref="C1"/>
      <selection pane="bottomLeft" activeCell="A3" sqref="A3"/>
      <selection pane="bottomRight"/>
    </sheetView>
  </sheetViews>
  <sheetFormatPr defaultRowHeight="15"/>
  <cols>
    <col min="1" max="1" width="14.7109375" customWidth="1"/>
    <col min="2" max="2" width="20.7109375" customWidth="1"/>
    <col min="3" max="3" width="28.7109375" customWidth="1"/>
    <col min="4" max="4" width="24.7109375" customWidth="1"/>
    <col min="5" max="5" width="32.7109375" customWidth="1"/>
    <col min="6" max="6" width="22.7109375" customWidth="1"/>
    <col min="7" max="7" width="32.7109375" customWidth="1"/>
    <col min="8" max="8" width="12.7109375" customWidth="1"/>
    <col min="9" max="9" width="10.7109375" customWidth="1"/>
    <col min="10" max="10" width="25.7109375" customWidth="1"/>
    <col min="11" max="11" width="12.7109375" customWidth="1"/>
    <col min="12" max="12" width="20.7109375" customWidth="1"/>
    <col min="13" max="13" width="14.7109375" customWidth="1"/>
    <col min="14" max="14" width="13.7109375" customWidth="1"/>
  </cols>
  <sheetData>
    <row r="1" spans="1:14" ht="32" customHeight="1">
      <c r="A1" s="1" t="s">
        <v>167</v>
      </c>
      <c r="B1" s="1"/>
      <c r="C1" s="1"/>
      <c r="D1" s="1"/>
      <c r="E1" s="1"/>
      <c r="F1" s="1"/>
      <c r="G1" s="1"/>
      <c r="H1" s="1"/>
      <c r="I1" s="1"/>
      <c r="J1" s="1"/>
      <c r="K1" s="1"/>
      <c r="L1" s="1"/>
      <c r="M1" s="1"/>
      <c r="N1" s="1"/>
    </row>
    <row r="2" spans="1:14" ht="28" customHeight="1">
      <c r="A2" s="6" t="s">
        <v>51</v>
      </c>
      <c r="B2" s="6" t="s">
        <v>52</v>
      </c>
      <c r="C2" s="6" t="s">
        <v>53</v>
      </c>
      <c r="D2" s="6" t="s">
        <v>54</v>
      </c>
      <c r="E2" s="6" t="s">
        <v>55</v>
      </c>
      <c r="F2" s="6" t="s">
        <v>56</v>
      </c>
      <c r="G2" s="6" t="s">
        <v>57</v>
      </c>
      <c r="H2" s="6" t="s">
        <v>58</v>
      </c>
      <c r="I2" s="6" t="s">
        <v>59</v>
      </c>
      <c r="J2" s="6" t="s">
        <v>60</v>
      </c>
      <c r="K2" s="6" t="s">
        <v>61</v>
      </c>
      <c r="L2" s="6" t="s">
        <v>62</v>
      </c>
      <c r="M2" s="6" t="s">
        <v>63</v>
      </c>
      <c r="N2" s="6" t="s">
        <v>64</v>
      </c>
    </row>
    <row r="3" spans="1:14" ht="45" customHeight="1">
      <c r="A3" s="7" t="s">
        <v>168</v>
      </c>
      <c r="B3" s="8" t="s">
        <v>169</v>
      </c>
      <c r="C3" s="8" t="s">
        <v>170</v>
      </c>
      <c r="D3" s="8" t="s">
        <v>171</v>
      </c>
      <c r="E3" s="8" t="s">
        <v>172</v>
      </c>
      <c r="F3" s="8" t="s">
        <v>173</v>
      </c>
      <c r="G3" s="8" t="s">
        <v>174</v>
      </c>
      <c r="H3" s="15" t="s">
        <v>90</v>
      </c>
      <c r="I3" s="7" t="s">
        <v>73</v>
      </c>
      <c r="J3" s="8"/>
      <c r="K3" s="7"/>
      <c r="L3" s="8"/>
      <c r="M3" s="7"/>
      <c r="N3" s="7"/>
    </row>
    <row r="4" spans="1:14" ht="45" customHeight="1">
      <c r="A4" s="13" t="s">
        <v>175</v>
      </c>
      <c r="B4" s="14" t="s">
        <v>176</v>
      </c>
      <c r="C4" s="14" t="s">
        <v>177</v>
      </c>
      <c r="D4" s="14" t="s">
        <v>178</v>
      </c>
      <c r="E4" s="14" t="s">
        <v>179</v>
      </c>
      <c r="F4" s="14" t="s">
        <v>180</v>
      </c>
      <c r="G4" s="14" t="s">
        <v>181</v>
      </c>
      <c r="H4" s="15" t="s">
        <v>90</v>
      </c>
      <c r="I4" s="13" t="s">
        <v>73</v>
      </c>
      <c r="J4" s="14"/>
      <c r="K4" s="13"/>
      <c r="L4" s="14"/>
      <c r="M4" s="13"/>
      <c r="N4" s="13"/>
    </row>
    <row r="5" spans="1:14" ht="45" customHeight="1">
      <c r="A5" s="7" t="s">
        <v>182</v>
      </c>
      <c r="B5" s="8" t="s">
        <v>176</v>
      </c>
      <c r="C5" s="8" t="s">
        <v>183</v>
      </c>
      <c r="D5" s="8" t="s">
        <v>184</v>
      </c>
      <c r="E5" s="8" t="s">
        <v>185</v>
      </c>
      <c r="F5" s="8" t="s">
        <v>186</v>
      </c>
      <c r="G5" s="8" t="s">
        <v>187</v>
      </c>
      <c r="H5" s="16" t="s">
        <v>96</v>
      </c>
      <c r="I5" s="7" t="s">
        <v>97</v>
      </c>
      <c r="J5" s="8"/>
      <c r="K5" s="7"/>
      <c r="L5" s="8"/>
      <c r="M5" s="7"/>
      <c r="N5" s="7"/>
    </row>
    <row r="6" spans="1:14" ht="45" customHeight="1">
      <c r="A6" s="13" t="s">
        <v>188</v>
      </c>
      <c r="B6" s="14" t="s">
        <v>189</v>
      </c>
      <c r="C6" s="14" t="s">
        <v>190</v>
      </c>
      <c r="D6" s="14" t="s">
        <v>191</v>
      </c>
      <c r="E6" s="14" t="s">
        <v>192</v>
      </c>
      <c r="F6" s="14" t="s">
        <v>193</v>
      </c>
      <c r="G6" s="14" t="s">
        <v>194</v>
      </c>
      <c r="H6" s="15" t="s">
        <v>90</v>
      </c>
      <c r="I6" s="13" t="s">
        <v>73</v>
      </c>
      <c r="J6" s="14"/>
      <c r="K6" s="13"/>
      <c r="L6" s="14"/>
      <c r="M6" s="13"/>
      <c r="N6" s="13"/>
    </row>
    <row r="7" spans="1:14" ht="45" customHeight="1">
      <c r="A7" s="7" t="s">
        <v>195</v>
      </c>
      <c r="B7" s="8" t="s">
        <v>189</v>
      </c>
      <c r="C7" s="8" t="s">
        <v>196</v>
      </c>
      <c r="D7" s="8" t="s">
        <v>197</v>
      </c>
      <c r="E7" s="8" t="s">
        <v>198</v>
      </c>
      <c r="F7" s="8" t="s">
        <v>199</v>
      </c>
      <c r="G7" s="8" t="s">
        <v>200</v>
      </c>
      <c r="H7" s="16" t="s">
        <v>96</v>
      </c>
      <c r="I7" s="7" t="s">
        <v>97</v>
      </c>
      <c r="J7" s="8"/>
      <c r="K7" s="7"/>
      <c r="L7" s="8"/>
      <c r="M7" s="7"/>
      <c r="N7" s="7"/>
    </row>
    <row r="8" spans="1:14" ht="45" customHeight="1">
      <c r="A8" s="13" t="s">
        <v>201</v>
      </c>
      <c r="B8" s="14" t="s">
        <v>202</v>
      </c>
      <c r="C8" s="14" t="s">
        <v>203</v>
      </c>
      <c r="D8" s="14" t="s">
        <v>204</v>
      </c>
      <c r="E8" s="14" t="s">
        <v>205</v>
      </c>
      <c r="F8" s="14" t="s">
        <v>206</v>
      </c>
      <c r="G8" s="14" t="s">
        <v>207</v>
      </c>
      <c r="H8" s="12" t="s">
        <v>72</v>
      </c>
      <c r="I8" s="13" t="s">
        <v>73</v>
      </c>
      <c r="J8" s="14"/>
      <c r="K8" s="13"/>
      <c r="L8" s="14"/>
      <c r="M8" s="13"/>
      <c r="N8" s="13"/>
    </row>
    <row r="9" spans="1:14" ht="45" customHeight="1">
      <c r="A9" s="7" t="s">
        <v>208</v>
      </c>
      <c r="B9" s="8" t="s">
        <v>202</v>
      </c>
      <c r="C9" s="8" t="s">
        <v>209</v>
      </c>
      <c r="D9" s="8" t="s">
        <v>210</v>
      </c>
      <c r="E9" s="8" t="s">
        <v>211</v>
      </c>
      <c r="F9" s="8" t="s">
        <v>212</v>
      </c>
      <c r="G9" s="8" t="s">
        <v>213</v>
      </c>
      <c r="H9" s="16" t="s">
        <v>96</v>
      </c>
      <c r="I9" s="7" t="s">
        <v>97</v>
      </c>
      <c r="J9" s="8"/>
      <c r="K9" s="7"/>
      <c r="L9" s="8"/>
      <c r="M9" s="7"/>
      <c r="N9" s="7"/>
    </row>
    <row r="10" spans="1:14" ht="45" customHeight="1">
      <c r="A10" s="13" t="s">
        <v>214</v>
      </c>
      <c r="B10" s="14" t="s">
        <v>215</v>
      </c>
      <c r="C10" s="14" t="s">
        <v>216</v>
      </c>
      <c r="D10" s="14" t="s">
        <v>217</v>
      </c>
      <c r="E10" s="14" t="s">
        <v>218</v>
      </c>
      <c r="F10" s="14" t="s">
        <v>219</v>
      </c>
      <c r="G10" s="14" t="s">
        <v>220</v>
      </c>
      <c r="H10" s="12" t="s">
        <v>72</v>
      </c>
      <c r="I10" s="13" t="s">
        <v>73</v>
      </c>
      <c r="J10" s="14"/>
      <c r="K10" s="13"/>
      <c r="L10" s="14"/>
      <c r="M10" s="13"/>
      <c r="N10" s="13"/>
    </row>
    <row r="11" spans="1:14" ht="45" customHeight="1">
      <c r="A11" s="7" t="s">
        <v>221</v>
      </c>
      <c r="B11" s="8" t="s">
        <v>215</v>
      </c>
      <c r="C11" s="8" t="s">
        <v>222</v>
      </c>
      <c r="D11" s="8" t="s">
        <v>223</v>
      </c>
      <c r="E11" s="8" t="s">
        <v>224</v>
      </c>
      <c r="F11" s="8" t="s">
        <v>225</v>
      </c>
      <c r="G11" s="8" t="s">
        <v>226</v>
      </c>
      <c r="H11" s="15" t="s">
        <v>90</v>
      </c>
      <c r="I11" s="7" t="s">
        <v>73</v>
      </c>
      <c r="J11" s="8"/>
      <c r="K11" s="7"/>
      <c r="L11" s="8"/>
      <c r="M11" s="7"/>
      <c r="N11" s="7"/>
    </row>
    <row r="12" spans="1:14" ht="45" customHeight="1">
      <c r="A12" s="13" t="s">
        <v>227</v>
      </c>
      <c r="B12" s="14" t="s">
        <v>228</v>
      </c>
      <c r="C12" s="14" t="s">
        <v>229</v>
      </c>
      <c r="D12" s="14" t="s">
        <v>230</v>
      </c>
      <c r="E12" s="14" t="s">
        <v>231</v>
      </c>
      <c r="F12" s="14" t="s">
        <v>232</v>
      </c>
      <c r="G12" s="14" t="s">
        <v>233</v>
      </c>
      <c r="H12" s="15" t="s">
        <v>90</v>
      </c>
      <c r="I12" s="13" t="s">
        <v>97</v>
      </c>
      <c r="J12" s="14"/>
      <c r="K12" s="13"/>
      <c r="L12" s="14"/>
      <c r="M12" s="13"/>
      <c r="N12" s="13"/>
    </row>
    <row r="13" spans="1:14" ht="45" customHeight="1">
      <c r="A13" s="7" t="s">
        <v>234</v>
      </c>
      <c r="B13" s="8" t="s">
        <v>235</v>
      </c>
      <c r="C13" s="8" t="s">
        <v>236</v>
      </c>
      <c r="D13" s="8" t="s">
        <v>237</v>
      </c>
      <c r="E13" s="8" t="s">
        <v>238</v>
      </c>
      <c r="F13" s="8" t="s">
        <v>239</v>
      </c>
      <c r="G13" s="8" t="s">
        <v>240</v>
      </c>
      <c r="H13" s="15" t="s">
        <v>90</v>
      </c>
      <c r="I13" s="7" t="s">
        <v>73</v>
      </c>
      <c r="J13" s="8"/>
      <c r="K13" s="7"/>
      <c r="L13" s="8"/>
      <c r="M13" s="7"/>
      <c r="N13" s="7"/>
    </row>
    <row r="14" spans="1:14" ht="45" customHeight="1">
      <c r="A14" s="13" t="s">
        <v>241</v>
      </c>
      <c r="B14" s="14" t="s">
        <v>242</v>
      </c>
      <c r="C14" s="14" t="s">
        <v>243</v>
      </c>
      <c r="D14" s="14" t="s">
        <v>244</v>
      </c>
      <c r="E14" s="14" t="s">
        <v>245</v>
      </c>
      <c r="F14" s="14" t="s">
        <v>246</v>
      </c>
      <c r="G14" s="14" t="s">
        <v>247</v>
      </c>
      <c r="H14" s="15" t="s">
        <v>90</v>
      </c>
      <c r="I14" s="13" t="s">
        <v>73</v>
      </c>
      <c r="J14" s="14"/>
      <c r="K14" s="13"/>
      <c r="L14" s="14"/>
      <c r="M14" s="13"/>
      <c r="N14" s="13"/>
    </row>
    <row r="15" spans="1:14" ht="45" customHeight="1">
      <c r="A15" s="7" t="s">
        <v>248</v>
      </c>
      <c r="B15" s="8" t="s">
        <v>249</v>
      </c>
      <c r="C15" s="8" t="s">
        <v>250</v>
      </c>
      <c r="D15" s="8" t="s">
        <v>251</v>
      </c>
      <c r="E15" s="8" t="s">
        <v>252</v>
      </c>
      <c r="F15" s="8" t="s">
        <v>253</v>
      </c>
      <c r="G15" s="8" t="s">
        <v>254</v>
      </c>
      <c r="H15" s="15" t="s">
        <v>90</v>
      </c>
      <c r="I15" s="7" t="s">
        <v>73</v>
      </c>
      <c r="J15" s="8"/>
      <c r="K15" s="7"/>
      <c r="L15" s="8"/>
      <c r="M15" s="7"/>
      <c r="N15" s="7"/>
    </row>
    <row r="16" spans="1:14" ht="45" customHeight="1">
      <c r="A16" s="13" t="s">
        <v>255</v>
      </c>
      <c r="B16" s="14" t="s">
        <v>249</v>
      </c>
      <c r="C16" s="14" t="s">
        <v>256</v>
      </c>
      <c r="D16" s="14" t="s">
        <v>257</v>
      </c>
      <c r="E16" s="14" t="s">
        <v>258</v>
      </c>
      <c r="F16" s="14" t="s">
        <v>259</v>
      </c>
      <c r="G16" s="14" t="s">
        <v>260</v>
      </c>
      <c r="H16" s="16" t="s">
        <v>96</v>
      </c>
      <c r="I16" s="13" t="s">
        <v>97</v>
      </c>
      <c r="J16" s="14"/>
      <c r="K16" s="13"/>
      <c r="L16" s="14"/>
      <c r="M16" s="13"/>
      <c r="N16" s="13"/>
    </row>
    <row r="17" spans="1:14" ht="45" customHeight="1">
      <c r="A17" s="7" t="s">
        <v>261</v>
      </c>
      <c r="B17" s="8" t="s">
        <v>262</v>
      </c>
      <c r="C17" s="8" t="s">
        <v>263</v>
      </c>
      <c r="D17" s="8" t="s">
        <v>264</v>
      </c>
      <c r="E17" s="8" t="s">
        <v>265</v>
      </c>
      <c r="F17" s="8" t="s">
        <v>266</v>
      </c>
      <c r="G17" s="8" t="s">
        <v>267</v>
      </c>
      <c r="H17" s="16" t="s">
        <v>96</v>
      </c>
      <c r="I17" s="7" t="s">
        <v>97</v>
      </c>
      <c r="J17" s="8"/>
      <c r="K17" s="7"/>
      <c r="L17" s="8"/>
      <c r="M17" s="7"/>
      <c r="N17" s="7"/>
    </row>
    <row r="18" spans="1:14" ht="45" customHeight="1">
      <c r="A18" s="13" t="s">
        <v>268</v>
      </c>
      <c r="B18" s="14" t="s">
        <v>262</v>
      </c>
      <c r="C18" s="14" t="s">
        <v>269</v>
      </c>
      <c r="D18" s="14" t="s">
        <v>270</v>
      </c>
      <c r="E18" s="14" t="s">
        <v>271</v>
      </c>
      <c r="F18" s="14" t="s">
        <v>131</v>
      </c>
      <c r="G18" s="14" t="s">
        <v>272</v>
      </c>
      <c r="H18" s="16" t="s">
        <v>96</v>
      </c>
      <c r="I18" s="13" t="s">
        <v>97</v>
      </c>
      <c r="J18" s="14"/>
      <c r="K18" s="13"/>
      <c r="L18" s="14"/>
      <c r="M18" s="13"/>
      <c r="N18" s="13"/>
    </row>
    <row r="19" spans="1:14" ht="45" customHeight="1">
      <c r="A19" s="7" t="s">
        <v>273</v>
      </c>
      <c r="B19" s="8" t="s">
        <v>274</v>
      </c>
      <c r="C19" s="8" t="s">
        <v>275</v>
      </c>
      <c r="D19" s="8" t="s">
        <v>276</v>
      </c>
      <c r="E19" s="8" t="s">
        <v>277</v>
      </c>
      <c r="F19" s="8" t="s">
        <v>278</v>
      </c>
      <c r="G19" s="8" t="s">
        <v>279</v>
      </c>
      <c r="H19" s="16" t="s">
        <v>96</v>
      </c>
      <c r="I19" s="7" t="s">
        <v>97</v>
      </c>
      <c r="J19" s="8"/>
      <c r="K19" s="7"/>
      <c r="L19" s="8"/>
      <c r="M19" s="7"/>
      <c r="N19" s="7"/>
    </row>
    <row r="20" spans="1:14" ht="45" customHeight="1">
      <c r="A20" s="13" t="s">
        <v>280</v>
      </c>
      <c r="B20" s="14" t="s">
        <v>274</v>
      </c>
      <c r="C20" s="14" t="s">
        <v>281</v>
      </c>
      <c r="D20" s="14" t="s">
        <v>282</v>
      </c>
      <c r="E20" s="14" t="s">
        <v>283</v>
      </c>
      <c r="F20" s="14" t="s">
        <v>284</v>
      </c>
      <c r="G20" s="14" t="s">
        <v>285</v>
      </c>
      <c r="H20" s="15" t="s">
        <v>90</v>
      </c>
      <c r="I20" s="13" t="s">
        <v>97</v>
      </c>
      <c r="J20" s="14"/>
      <c r="K20" s="13"/>
      <c r="L20" s="14"/>
      <c r="M20" s="13"/>
      <c r="N20" s="13"/>
    </row>
  </sheetData>
  <mergeCells count="1">
    <mergeCell ref="A1:N1"/>
  </mergeCells>
  <dataValidations count="1">
    <dataValidation type="list" allowBlank="1" showInputMessage="1" showErrorMessage="1" promptTitle="Trạng thái Test" prompt="Chọn: Pass, Fail, Blocked hoặc Untested" sqref="K3:K20">
      <formula1>"Pass,Fail,Blocked,Untested"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2563EB"/>
  </sheetPr>
  <dimension ref="A1:N14"/>
  <sheetViews>
    <sheetView workbookViewId="0">
      <pane xSplit="2" ySplit="2" topLeftCell="C3" activePane="bottomRight" state="frozen"/>
      <selection pane="topRight" activeCell="C1" sqref="C1"/>
      <selection pane="bottomLeft" activeCell="A3" sqref="A3"/>
      <selection pane="bottomRight"/>
    </sheetView>
  </sheetViews>
  <sheetFormatPr defaultRowHeight="15"/>
  <cols>
    <col min="1" max="1" width="14.7109375" customWidth="1"/>
    <col min="2" max="2" width="20.7109375" customWidth="1"/>
    <col min="3" max="3" width="28.7109375" customWidth="1"/>
    <col min="4" max="4" width="24.7109375" customWidth="1"/>
    <col min="5" max="5" width="32.7109375" customWidth="1"/>
    <col min="6" max="6" width="22.7109375" customWidth="1"/>
    <col min="7" max="7" width="32.7109375" customWidth="1"/>
    <col min="8" max="8" width="12.7109375" customWidth="1"/>
    <col min="9" max="9" width="10.7109375" customWidth="1"/>
    <col min="10" max="10" width="25.7109375" customWidth="1"/>
    <col min="11" max="11" width="12.7109375" customWidth="1"/>
    <col min="12" max="12" width="20.7109375" customWidth="1"/>
    <col min="13" max="13" width="14.7109375" customWidth="1"/>
    <col min="14" max="14" width="13.7109375" customWidth="1"/>
  </cols>
  <sheetData>
    <row r="1" spans="1:14" ht="32" customHeight="1">
      <c r="A1" s="1" t="s">
        <v>286</v>
      </c>
      <c r="B1" s="1"/>
      <c r="C1" s="1"/>
      <c r="D1" s="1"/>
      <c r="E1" s="1"/>
      <c r="F1" s="1"/>
      <c r="G1" s="1"/>
      <c r="H1" s="1"/>
      <c r="I1" s="1"/>
      <c r="J1" s="1"/>
      <c r="K1" s="1"/>
      <c r="L1" s="1"/>
      <c r="M1" s="1"/>
      <c r="N1" s="1"/>
    </row>
    <row r="2" spans="1:14" ht="28" customHeight="1">
      <c r="A2" s="6" t="s">
        <v>51</v>
      </c>
      <c r="B2" s="6" t="s">
        <v>52</v>
      </c>
      <c r="C2" s="6" t="s">
        <v>53</v>
      </c>
      <c r="D2" s="6" t="s">
        <v>54</v>
      </c>
      <c r="E2" s="6" t="s">
        <v>55</v>
      </c>
      <c r="F2" s="6" t="s">
        <v>56</v>
      </c>
      <c r="G2" s="6" t="s">
        <v>57</v>
      </c>
      <c r="H2" s="6" t="s">
        <v>58</v>
      </c>
      <c r="I2" s="6" t="s">
        <v>59</v>
      </c>
      <c r="J2" s="6" t="s">
        <v>60</v>
      </c>
      <c r="K2" s="6" t="s">
        <v>61</v>
      </c>
      <c r="L2" s="6" t="s">
        <v>62</v>
      </c>
      <c r="M2" s="6" t="s">
        <v>63</v>
      </c>
      <c r="N2" s="6" t="s">
        <v>64</v>
      </c>
    </row>
    <row r="3" spans="1:14" ht="45" customHeight="1">
      <c r="A3" s="7" t="s">
        <v>287</v>
      </c>
      <c r="B3" s="8" t="s">
        <v>169</v>
      </c>
      <c r="C3" s="8" t="s">
        <v>288</v>
      </c>
      <c r="D3" s="8" t="s">
        <v>289</v>
      </c>
      <c r="E3" s="8" t="s">
        <v>290</v>
      </c>
      <c r="F3" s="8" t="s">
        <v>291</v>
      </c>
      <c r="G3" s="8" t="s">
        <v>292</v>
      </c>
      <c r="H3" s="15" t="s">
        <v>90</v>
      </c>
      <c r="I3" s="7" t="s">
        <v>73</v>
      </c>
      <c r="J3" s="8"/>
      <c r="K3" s="7"/>
      <c r="L3" s="8"/>
      <c r="M3" s="7"/>
      <c r="N3" s="7"/>
    </row>
    <row r="4" spans="1:14" ht="45" customHeight="1">
      <c r="A4" s="13" t="s">
        <v>293</v>
      </c>
      <c r="B4" s="14" t="s">
        <v>176</v>
      </c>
      <c r="C4" s="14" t="s">
        <v>294</v>
      </c>
      <c r="D4" s="14" t="s">
        <v>295</v>
      </c>
      <c r="E4" s="14" t="s">
        <v>296</v>
      </c>
      <c r="F4" s="14" t="s">
        <v>297</v>
      </c>
      <c r="G4" s="14" t="s">
        <v>298</v>
      </c>
      <c r="H4" s="15" t="s">
        <v>90</v>
      </c>
      <c r="I4" s="13" t="s">
        <v>73</v>
      </c>
      <c r="J4" s="14"/>
      <c r="K4" s="13"/>
      <c r="L4" s="14"/>
      <c r="M4" s="13"/>
      <c r="N4" s="13"/>
    </row>
    <row r="5" spans="1:14" ht="45" customHeight="1">
      <c r="A5" s="7" t="s">
        <v>299</v>
      </c>
      <c r="B5" s="8" t="s">
        <v>300</v>
      </c>
      <c r="C5" s="8" t="s">
        <v>301</v>
      </c>
      <c r="D5" s="8" t="s">
        <v>302</v>
      </c>
      <c r="E5" s="8" t="s">
        <v>303</v>
      </c>
      <c r="F5" s="8" t="s">
        <v>304</v>
      </c>
      <c r="G5" s="8" t="s">
        <v>305</v>
      </c>
      <c r="H5" s="12" t="s">
        <v>72</v>
      </c>
      <c r="I5" s="7" t="s">
        <v>73</v>
      </c>
      <c r="J5" s="8"/>
      <c r="K5" s="7"/>
      <c r="L5" s="8"/>
      <c r="M5" s="7"/>
      <c r="N5" s="7"/>
    </row>
    <row r="6" spans="1:14" ht="45" customHeight="1">
      <c r="A6" s="13" t="s">
        <v>306</v>
      </c>
      <c r="B6" s="14" t="s">
        <v>307</v>
      </c>
      <c r="C6" s="14" t="s">
        <v>308</v>
      </c>
      <c r="D6" s="14" t="s">
        <v>309</v>
      </c>
      <c r="E6" s="14" t="s">
        <v>310</v>
      </c>
      <c r="F6" s="14" t="s">
        <v>311</v>
      </c>
      <c r="G6" s="14" t="s">
        <v>312</v>
      </c>
      <c r="H6" s="16" t="s">
        <v>96</v>
      </c>
      <c r="I6" s="13" t="s">
        <v>97</v>
      </c>
      <c r="J6" s="14"/>
      <c r="K6" s="13"/>
      <c r="L6" s="14"/>
      <c r="M6" s="13"/>
      <c r="N6" s="13"/>
    </row>
    <row r="7" spans="1:14" ht="45" customHeight="1">
      <c r="A7" s="7" t="s">
        <v>313</v>
      </c>
      <c r="B7" s="8" t="s">
        <v>314</v>
      </c>
      <c r="C7" s="8" t="s">
        <v>315</v>
      </c>
      <c r="D7" s="8" t="s">
        <v>316</v>
      </c>
      <c r="E7" s="8" t="s">
        <v>317</v>
      </c>
      <c r="F7" s="8" t="s">
        <v>318</v>
      </c>
      <c r="G7" s="8" t="s">
        <v>319</v>
      </c>
      <c r="H7" s="16" t="s">
        <v>96</v>
      </c>
      <c r="I7" s="7" t="s">
        <v>97</v>
      </c>
      <c r="J7" s="8"/>
      <c r="K7" s="7"/>
      <c r="L7" s="8"/>
      <c r="M7" s="7"/>
      <c r="N7" s="7"/>
    </row>
    <row r="8" spans="1:14" ht="45" customHeight="1">
      <c r="A8" s="13" t="s">
        <v>320</v>
      </c>
      <c r="B8" s="14" t="s">
        <v>321</v>
      </c>
      <c r="C8" s="14" t="s">
        <v>322</v>
      </c>
      <c r="D8" s="14" t="s">
        <v>323</v>
      </c>
      <c r="E8" s="14" t="s">
        <v>324</v>
      </c>
      <c r="F8" s="14" t="s">
        <v>325</v>
      </c>
      <c r="G8" s="14" t="s">
        <v>326</v>
      </c>
      <c r="H8" s="12" t="s">
        <v>72</v>
      </c>
      <c r="I8" s="13" t="s">
        <v>73</v>
      </c>
      <c r="J8" s="14"/>
      <c r="K8" s="13"/>
      <c r="L8" s="14"/>
      <c r="M8" s="13"/>
      <c r="N8" s="13"/>
    </row>
    <row r="9" spans="1:14" ht="45" customHeight="1">
      <c r="A9" s="7" t="s">
        <v>327</v>
      </c>
      <c r="B9" s="8" t="s">
        <v>328</v>
      </c>
      <c r="C9" s="8" t="s">
        <v>329</v>
      </c>
      <c r="D9" s="8" t="s">
        <v>330</v>
      </c>
      <c r="E9" s="8" t="s">
        <v>331</v>
      </c>
      <c r="F9" s="8" t="s">
        <v>332</v>
      </c>
      <c r="G9" s="8" t="s">
        <v>333</v>
      </c>
      <c r="H9" s="15" t="s">
        <v>90</v>
      </c>
      <c r="I9" s="7" t="s">
        <v>73</v>
      </c>
      <c r="J9" s="8"/>
      <c r="K9" s="7"/>
      <c r="L9" s="8"/>
      <c r="M9" s="7"/>
      <c r="N9" s="7"/>
    </row>
    <row r="10" spans="1:14" ht="45" customHeight="1">
      <c r="A10" s="13" t="s">
        <v>334</v>
      </c>
      <c r="B10" s="14" t="s">
        <v>335</v>
      </c>
      <c r="C10" s="14" t="s">
        <v>336</v>
      </c>
      <c r="D10" s="14" t="s">
        <v>337</v>
      </c>
      <c r="E10" s="14" t="s">
        <v>338</v>
      </c>
      <c r="F10" s="14" t="s">
        <v>339</v>
      </c>
      <c r="G10" s="14" t="s">
        <v>340</v>
      </c>
      <c r="H10" s="15" t="s">
        <v>90</v>
      </c>
      <c r="I10" s="13" t="s">
        <v>73</v>
      </c>
      <c r="J10" s="14"/>
      <c r="K10" s="13"/>
      <c r="L10" s="14"/>
      <c r="M10" s="13"/>
      <c r="N10" s="13"/>
    </row>
    <row r="11" spans="1:14" ht="45" customHeight="1">
      <c r="A11" s="7" t="s">
        <v>341</v>
      </c>
      <c r="B11" s="8" t="s">
        <v>342</v>
      </c>
      <c r="C11" s="8" t="s">
        <v>343</v>
      </c>
      <c r="D11" s="8" t="s">
        <v>344</v>
      </c>
      <c r="E11" s="8" t="s">
        <v>345</v>
      </c>
      <c r="F11" s="8" t="s">
        <v>346</v>
      </c>
      <c r="G11" s="8" t="s">
        <v>347</v>
      </c>
      <c r="H11" s="15" t="s">
        <v>90</v>
      </c>
      <c r="I11" s="7" t="s">
        <v>73</v>
      </c>
      <c r="J11" s="8"/>
      <c r="K11" s="7"/>
      <c r="L11" s="8"/>
      <c r="M11" s="7"/>
      <c r="N11" s="7"/>
    </row>
    <row r="12" spans="1:14" ht="45" customHeight="1">
      <c r="A12" s="13" t="s">
        <v>348</v>
      </c>
      <c r="B12" s="14" t="s">
        <v>349</v>
      </c>
      <c r="C12" s="14" t="s">
        <v>350</v>
      </c>
      <c r="D12" s="14" t="s">
        <v>351</v>
      </c>
      <c r="E12" s="14" t="s">
        <v>352</v>
      </c>
      <c r="F12" s="14" t="s">
        <v>353</v>
      </c>
      <c r="G12" s="14" t="s">
        <v>354</v>
      </c>
      <c r="H12" s="15" t="s">
        <v>90</v>
      </c>
      <c r="I12" s="13" t="s">
        <v>73</v>
      </c>
      <c r="J12" s="14"/>
      <c r="K12" s="13"/>
      <c r="L12" s="14"/>
      <c r="M12" s="13"/>
      <c r="N12" s="13"/>
    </row>
    <row r="13" spans="1:14" ht="45" customHeight="1">
      <c r="A13" s="7" t="s">
        <v>355</v>
      </c>
      <c r="B13" s="8" t="s">
        <v>356</v>
      </c>
      <c r="C13" s="8" t="s">
        <v>357</v>
      </c>
      <c r="D13" s="8" t="s">
        <v>358</v>
      </c>
      <c r="E13" s="8" t="s">
        <v>359</v>
      </c>
      <c r="F13" s="8" t="s">
        <v>360</v>
      </c>
      <c r="G13" s="8" t="s">
        <v>361</v>
      </c>
      <c r="H13" s="16" t="s">
        <v>96</v>
      </c>
      <c r="I13" s="7" t="s">
        <v>97</v>
      </c>
      <c r="J13" s="8"/>
      <c r="K13" s="7"/>
      <c r="L13" s="8"/>
      <c r="M13" s="7"/>
      <c r="N13" s="7"/>
    </row>
    <row r="14" spans="1:14" ht="45" customHeight="1">
      <c r="A14" s="13" t="s">
        <v>362</v>
      </c>
      <c r="B14" s="14" t="s">
        <v>363</v>
      </c>
      <c r="C14" s="14" t="s">
        <v>364</v>
      </c>
      <c r="D14" s="14" t="s">
        <v>365</v>
      </c>
      <c r="E14" s="14" t="s">
        <v>366</v>
      </c>
      <c r="F14" s="14" t="s">
        <v>367</v>
      </c>
      <c r="G14" s="14" t="s">
        <v>368</v>
      </c>
      <c r="H14" s="16" t="s">
        <v>96</v>
      </c>
      <c r="I14" s="13" t="s">
        <v>118</v>
      </c>
      <c r="J14" s="14"/>
      <c r="K14" s="13"/>
      <c r="L14" s="14"/>
      <c r="M14" s="13"/>
      <c r="N14" s="13"/>
    </row>
  </sheetData>
  <mergeCells count="1">
    <mergeCell ref="A1:N1"/>
  </mergeCells>
  <dataValidations count="1">
    <dataValidation type="list" allowBlank="1" showInputMessage="1" showErrorMessage="1" promptTitle="Trạng thái Test" prompt="Chọn: Pass, Fail, Blocked hoặc Untested" sqref="K3:K14">
      <formula1>"Pass,Fail,Blocked,Untested"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059669"/>
  </sheetPr>
  <dimension ref="A1:N9"/>
  <sheetViews>
    <sheetView workbookViewId="0">
      <pane xSplit="2" ySplit="2" topLeftCell="C3" activePane="bottomRight" state="frozen"/>
      <selection pane="topRight" activeCell="C1" sqref="C1"/>
      <selection pane="bottomLeft" activeCell="A3" sqref="A3"/>
      <selection pane="bottomRight"/>
    </sheetView>
  </sheetViews>
  <sheetFormatPr defaultRowHeight="15"/>
  <cols>
    <col min="1" max="1" width="14.7109375" customWidth="1"/>
    <col min="2" max="2" width="20.7109375" customWidth="1"/>
    <col min="3" max="3" width="28.7109375" customWidth="1"/>
    <col min="4" max="4" width="24.7109375" customWidth="1"/>
    <col min="5" max="5" width="32.7109375" customWidth="1"/>
    <col min="6" max="6" width="22.7109375" customWidth="1"/>
    <col min="7" max="7" width="32.7109375" customWidth="1"/>
    <col min="8" max="8" width="12.7109375" customWidth="1"/>
    <col min="9" max="9" width="10.7109375" customWidth="1"/>
    <col min="10" max="10" width="25.7109375" customWidth="1"/>
    <col min="11" max="11" width="12.7109375" customWidth="1"/>
    <col min="12" max="12" width="20.7109375" customWidth="1"/>
    <col min="13" max="13" width="14.7109375" customWidth="1"/>
    <col min="14" max="14" width="13.7109375" customWidth="1"/>
  </cols>
  <sheetData>
    <row r="1" spans="1:14" ht="32" customHeight="1">
      <c r="A1" s="1" t="s">
        <v>369</v>
      </c>
      <c r="B1" s="1"/>
      <c r="C1" s="1"/>
      <c r="D1" s="1"/>
      <c r="E1" s="1"/>
      <c r="F1" s="1"/>
      <c r="G1" s="1"/>
      <c r="H1" s="1"/>
      <c r="I1" s="1"/>
      <c r="J1" s="1"/>
      <c r="K1" s="1"/>
      <c r="L1" s="1"/>
      <c r="M1" s="1"/>
      <c r="N1" s="1"/>
    </row>
    <row r="2" spans="1:14" ht="28" customHeight="1">
      <c r="A2" s="6" t="s">
        <v>51</v>
      </c>
      <c r="B2" s="6" t="s">
        <v>52</v>
      </c>
      <c r="C2" s="6" t="s">
        <v>53</v>
      </c>
      <c r="D2" s="6" t="s">
        <v>54</v>
      </c>
      <c r="E2" s="6" t="s">
        <v>55</v>
      </c>
      <c r="F2" s="6" t="s">
        <v>56</v>
      </c>
      <c r="G2" s="6" t="s">
        <v>57</v>
      </c>
      <c r="H2" s="6" t="s">
        <v>58</v>
      </c>
      <c r="I2" s="6" t="s">
        <v>59</v>
      </c>
      <c r="J2" s="6" t="s">
        <v>60</v>
      </c>
      <c r="K2" s="6" t="s">
        <v>61</v>
      </c>
      <c r="L2" s="6" t="s">
        <v>62</v>
      </c>
      <c r="M2" s="6" t="s">
        <v>63</v>
      </c>
      <c r="N2" s="6" t="s">
        <v>64</v>
      </c>
    </row>
    <row r="3" spans="1:14" ht="45" customHeight="1">
      <c r="A3" s="7" t="s">
        <v>370</v>
      </c>
      <c r="B3" s="8" t="s">
        <v>371</v>
      </c>
      <c r="C3" s="8" t="s">
        <v>372</v>
      </c>
      <c r="D3" s="8" t="s">
        <v>373</v>
      </c>
      <c r="E3" s="8" t="s">
        <v>374</v>
      </c>
      <c r="F3" s="8" t="s">
        <v>375</v>
      </c>
      <c r="G3" s="8" t="s">
        <v>376</v>
      </c>
      <c r="H3" s="15" t="s">
        <v>90</v>
      </c>
      <c r="I3" s="7" t="s">
        <v>73</v>
      </c>
      <c r="J3" s="8"/>
      <c r="K3" s="7"/>
      <c r="L3" s="8"/>
      <c r="M3" s="7"/>
      <c r="N3" s="7"/>
    </row>
    <row r="4" spans="1:14" ht="45" customHeight="1">
      <c r="A4" s="13" t="s">
        <v>377</v>
      </c>
      <c r="B4" s="14" t="s">
        <v>371</v>
      </c>
      <c r="C4" s="14" t="s">
        <v>378</v>
      </c>
      <c r="D4" s="14" t="s">
        <v>379</v>
      </c>
      <c r="E4" s="14" t="s">
        <v>380</v>
      </c>
      <c r="F4" s="14" t="s">
        <v>381</v>
      </c>
      <c r="G4" s="14" t="s">
        <v>382</v>
      </c>
      <c r="H4" s="15" t="s">
        <v>90</v>
      </c>
      <c r="I4" s="13" t="s">
        <v>73</v>
      </c>
      <c r="J4" s="14"/>
      <c r="K4" s="13"/>
      <c r="L4" s="14"/>
      <c r="M4" s="13"/>
      <c r="N4" s="13"/>
    </row>
    <row r="5" spans="1:14" ht="45" customHeight="1">
      <c r="A5" s="7" t="s">
        <v>383</v>
      </c>
      <c r="B5" s="8" t="s">
        <v>384</v>
      </c>
      <c r="C5" s="8" t="s">
        <v>385</v>
      </c>
      <c r="D5" s="8" t="s">
        <v>386</v>
      </c>
      <c r="E5" s="8" t="s">
        <v>387</v>
      </c>
      <c r="F5" s="8" t="s">
        <v>388</v>
      </c>
      <c r="G5" s="8" t="s">
        <v>389</v>
      </c>
      <c r="H5" s="12" t="s">
        <v>72</v>
      </c>
      <c r="I5" s="7" t="s">
        <v>73</v>
      </c>
      <c r="J5" s="8"/>
      <c r="K5" s="7"/>
      <c r="L5" s="8"/>
      <c r="M5" s="7"/>
      <c r="N5" s="7"/>
    </row>
    <row r="6" spans="1:14" ht="45" customHeight="1">
      <c r="A6" s="13" t="s">
        <v>390</v>
      </c>
      <c r="B6" s="14" t="s">
        <v>391</v>
      </c>
      <c r="C6" s="14" t="s">
        <v>392</v>
      </c>
      <c r="D6" s="14" t="s">
        <v>393</v>
      </c>
      <c r="E6" s="14" t="s">
        <v>394</v>
      </c>
      <c r="F6" s="14" t="s">
        <v>395</v>
      </c>
      <c r="G6" s="14" t="s">
        <v>396</v>
      </c>
      <c r="H6" s="16" t="s">
        <v>96</v>
      </c>
      <c r="I6" s="13" t="s">
        <v>97</v>
      </c>
      <c r="J6" s="14"/>
      <c r="K6" s="13"/>
      <c r="L6" s="14"/>
      <c r="M6" s="13"/>
      <c r="N6" s="13"/>
    </row>
    <row r="7" spans="1:14" ht="45" customHeight="1">
      <c r="A7" s="7" t="s">
        <v>397</v>
      </c>
      <c r="B7" s="8" t="s">
        <v>398</v>
      </c>
      <c r="C7" s="8" t="s">
        <v>399</v>
      </c>
      <c r="D7" s="8" t="s">
        <v>400</v>
      </c>
      <c r="E7" s="8" t="s">
        <v>401</v>
      </c>
      <c r="F7" s="8" t="s">
        <v>402</v>
      </c>
      <c r="G7" s="8" t="s">
        <v>403</v>
      </c>
      <c r="H7" s="16" t="s">
        <v>96</v>
      </c>
      <c r="I7" s="7" t="s">
        <v>97</v>
      </c>
      <c r="J7" s="8"/>
      <c r="K7" s="7"/>
      <c r="L7" s="8"/>
      <c r="M7" s="7"/>
      <c r="N7" s="7"/>
    </row>
    <row r="8" spans="1:14" ht="45" customHeight="1">
      <c r="A8" s="13" t="s">
        <v>404</v>
      </c>
      <c r="B8" s="14" t="s">
        <v>405</v>
      </c>
      <c r="C8" s="14" t="s">
        <v>406</v>
      </c>
      <c r="D8" s="14" t="s">
        <v>407</v>
      </c>
      <c r="E8" s="14" t="s">
        <v>408</v>
      </c>
      <c r="F8" s="14" t="s">
        <v>375</v>
      </c>
      <c r="G8" s="14" t="s">
        <v>409</v>
      </c>
      <c r="H8" s="15" t="s">
        <v>90</v>
      </c>
      <c r="I8" s="13" t="s">
        <v>73</v>
      </c>
      <c r="J8" s="14"/>
      <c r="K8" s="13"/>
      <c r="L8" s="14"/>
      <c r="M8" s="13"/>
      <c r="N8" s="13"/>
    </row>
    <row r="9" spans="1:14" ht="45" customHeight="1">
      <c r="A9" s="7" t="s">
        <v>410</v>
      </c>
      <c r="B9" s="8" t="s">
        <v>411</v>
      </c>
      <c r="C9" s="8" t="s">
        <v>412</v>
      </c>
      <c r="D9" s="8" t="s">
        <v>413</v>
      </c>
      <c r="E9" s="8" t="s">
        <v>414</v>
      </c>
      <c r="F9" s="8" t="s">
        <v>415</v>
      </c>
      <c r="G9" s="8" t="s">
        <v>416</v>
      </c>
      <c r="H9" s="16" t="s">
        <v>96</v>
      </c>
      <c r="I9" s="7" t="s">
        <v>118</v>
      </c>
      <c r="J9" s="8"/>
      <c r="K9" s="7"/>
      <c r="L9" s="8"/>
      <c r="M9" s="7"/>
      <c r="N9" s="7"/>
    </row>
  </sheetData>
  <mergeCells count="1">
    <mergeCell ref="A1:N1"/>
  </mergeCells>
  <dataValidations count="1">
    <dataValidation type="list" allowBlank="1" showInputMessage="1" showErrorMessage="1" promptTitle="Trạng thái Test" prompt="Chọn: Pass, Fail, Blocked hoặc Untested" sqref="K3:K9">
      <formula1>"Pass,Fail,Blocked,Untested"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7C3AED"/>
  </sheetPr>
  <dimension ref="A1:N12"/>
  <sheetViews>
    <sheetView workbookViewId="0">
      <pane xSplit="2" ySplit="2" topLeftCell="C3" activePane="bottomRight" state="frozen"/>
      <selection pane="topRight" activeCell="C1" sqref="C1"/>
      <selection pane="bottomLeft" activeCell="A3" sqref="A3"/>
      <selection pane="bottomRight"/>
    </sheetView>
  </sheetViews>
  <sheetFormatPr defaultRowHeight="15"/>
  <cols>
    <col min="1" max="1" width="14.7109375" customWidth="1"/>
    <col min="2" max="2" width="20.7109375" customWidth="1"/>
    <col min="3" max="3" width="28.7109375" customWidth="1"/>
    <col min="4" max="4" width="24.7109375" customWidth="1"/>
    <col min="5" max="5" width="32.7109375" customWidth="1"/>
    <col min="6" max="6" width="22.7109375" customWidth="1"/>
    <col min="7" max="7" width="32.7109375" customWidth="1"/>
    <col min="8" max="8" width="12.7109375" customWidth="1"/>
    <col min="9" max="9" width="10.7109375" customWidth="1"/>
    <col min="10" max="10" width="25.7109375" customWidth="1"/>
    <col min="11" max="11" width="12.7109375" customWidth="1"/>
    <col min="12" max="12" width="20.7109375" customWidth="1"/>
    <col min="13" max="13" width="14.7109375" customWidth="1"/>
    <col min="14" max="14" width="13.7109375" customWidth="1"/>
  </cols>
  <sheetData>
    <row r="1" spans="1:14" ht="32" customHeight="1">
      <c r="A1" s="1" t="s">
        <v>417</v>
      </c>
      <c r="B1" s="1"/>
      <c r="C1" s="1"/>
      <c r="D1" s="1"/>
      <c r="E1" s="1"/>
      <c r="F1" s="1"/>
      <c r="G1" s="1"/>
      <c r="H1" s="1"/>
      <c r="I1" s="1"/>
      <c r="J1" s="1"/>
      <c r="K1" s="1"/>
      <c r="L1" s="1"/>
      <c r="M1" s="1"/>
      <c r="N1" s="1"/>
    </row>
    <row r="2" spans="1:14" ht="28" customHeight="1">
      <c r="A2" s="6" t="s">
        <v>51</v>
      </c>
      <c r="B2" s="6" t="s">
        <v>52</v>
      </c>
      <c r="C2" s="6" t="s">
        <v>53</v>
      </c>
      <c r="D2" s="6" t="s">
        <v>54</v>
      </c>
      <c r="E2" s="6" t="s">
        <v>55</v>
      </c>
      <c r="F2" s="6" t="s">
        <v>56</v>
      </c>
      <c r="G2" s="6" t="s">
        <v>57</v>
      </c>
      <c r="H2" s="6" t="s">
        <v>58</v>
      </c>
      <c r="I2" s="6" t="s">
        <v>59</v>
      </c>
      <c r="J2" s="6" t="s">
        <v>60</v>
      </c>
      <c r="K2" s="6" t="s">
        <v>61</v>
      </c>
      <c r="L2" s="6" t="s">
        <v>62</v>
      </c>
      <c r="M2" s="6" t="s">
        <v>63</v>
      </c>
      <c r="N2" s="6" t="s">
        <v>64</v>
      </c>
    </row>
    <row r="3" spans="1:14" ht="45" customHeight="1">
      <c r="A3" s="7" t="s">
        <v>418</v>
      </c>
      <c r="B3" s="8" t="s">
        <v>419</v>
      </c>
      <c r="C3" s="8" t="s">
        <v>420</v>
      </c>
      <c r="D3" s="8" t="s">
        <v>421</v>
      </c>
      <c r="E3" s="8" t="s">
        <v>422</v>
      </c>
      <c r="F3" s="8" t="s">
        <v>423</v>
      </c>
      <c r="G3" s="8" t="s">
        <v>424</v>
      </c>
      <c r="H3" s="15" t="s">
        <v>90</v>
      </c>
      <c r="I3" s="7" t="s">
        <v>73</v>
      </c>
      <c r="J3" s="8"/>
      <c r="K3" s="7"/>
      <c r="L3" s="8"/>
      <c r="M3" s="7"/>
      <c r="N3" s="7"/>
    </row>
    <row r="4" spans="1:14" ht="45" customHeight="1">
      <c r="A4" s="13" t="s">
        <v>425</v>
      </c>
      <c r="B4" s="14" t="s">
        <v>426</v>
      </c>
      <c r="C4" s="14" t="s">
        <v>427</v>
      </c>
      <c r="D4" s="14" t="s">
        <v>428</v>
      </c>
      <c r="E4" s="14" t="s">
        <v>429</v>
      </c>
      <c r="F4" s="14" t="s">
        <v>430</v>
      </c>
      <c r="G4" s="14" t="s">
        <v>431</v>
      </c>
      <c r="H4" s="15" t="s">
        <v>90</v>
      </c>
      <c r="I4" s="13" t="s">
        <v>73</v>
      </c>
      <c r="J4" s="14"/>
      <c r="K4" s="13"/>
      <c r="L4" s="14"/>
      <c r="M4" s="13"/>
      <c r="N4" s="13"/>
    </row>
    <row r="5" spans="1:14" ht="45" customHeight="1">
      <c r="A5" s="7" t="s">
        <v>432</v>
      </c>
      <c r="B5" s="8" t="s">
        <v>433</v>
      </c>
      <c r="C5" s="8" t="s">
        <v>434</v>
      </c>
      <c r="D5" s="8" t="s">
        <v>435</v>
      </c>
      <c r="E5" s="8" t="s">
        <v>436</v>
      </c>
      <c r="F5" s="8" t="s">
        <v>437</v>
      </c>
      <c r="G5" s="8" t="s">
        <v>438</v>
      </c>
      <c r="H5" s="12" t="s">
        <v>72</v>
      </c>
      <c r="I5" s="7" t="s">
        <v>73</v>
      </c>
      <c r="J5" s="8"/>
      <c r="K5" s="7"/>
      <c r="L5" s="8"/>
      <c r="M5" s="7"/>
      <c r="N5" s="7"/>
    </row>
    <row r="6" spans="1:14" ht="45" customHeight="1">
      <c r="A6" s="13" t="s">
        <v>439</v>
      </c>
      <c r="B6" s="14" t="s">
        <v>433</v>
      </c>
      <c r="C6" s="14" t="s">
        <v>440</v>
      </c>
      <c r="D6" s="14" t="s">
        <v>441</v>
      </c>
      <c r="E6" s="14" t="s">
        <v>442</v>
      </c>
      <c r="F6" s="14" t="s">
        <v>443</v>
      </c>
      <c r="G6" s="14" t="s">
        <v>444</v>
      </c>
      <c r="H6" s="15" t="s">
        <v>90</v>
      </c>
      <c r="I6" s="13" t="s">
        <v>73</v>
      </c>
      <c r="J6" s="14"/>
      <c r="K6" s="13"/>
      <c r="L6" s="14"/>
      <c r="M6" s="13"/>
      <c r="N6" s="13"/>
    </row>
    <row r="7" spans="1:14" ht="45" customHeight="1">
      <c r="A7" s="7" t="s">
        <v>445</v>
      </c>
      <c r="B7" s="8" t="s">
        <v>446</v>
      </c>
      <c r="C7" s="8" t="s">
        <v>447</v>
      </c>
      <c r="D7" s="8" t="s">
        <v>448</v>
      </c>
      <c r="E7" s="8" t="s">
        <v>449</v>
      </c>
      <c r="F7" s="8" t="s">
        <v>450</v>
      </c>
      <c r="G7" s="8" t="s">
        <v>451</v>
      </c>
      <c r="H7" s="15" t="s">
        <v>90</v>
      </c>
      <c r="I7" s="7" t="s">
        <v>73</v>
      </c>
      <c r="J7" s="8"/>
      <c r="K7" s="7"/>
      <c r="L7" s="8"/>
      <c r="M7" s="7"/>
      <c r="N7" s="7"/>
    </row>
    <row r="8" spans="1:14" ht="45" customHeight="1">
      <c r="A8" s="13" t="s">
        <v>452</v>
      </c>
      <c r="B8" s="14" t="s">
        <v>453</v>
      </c>
      <c r="C8" s="14" t="s">
        <v>454</v>
      </c>
      <c r="D8" s="14" t="s">
        <v>455</v>
      </c>
      <c r="E8" s="14" t="s">
        <v>456</v>
      </c>
      <c r="F8" s="14" t="s">
        <v>457</v>
      </c>
      <c r="G8" s="14" t="s">
        <v>458</v>
      </c>
      <c r="H8" s="15" t="s">
        <v>90</v>
      </c>
      <c r="I8" s="13" t="s">
        <v>73</v>
      </c>
      <c r="J8" s="14"/>
      <c r="K8" s="13"/>
      <c r="L8" s="14"/>
      <c r="M8" s="13"/>
      <c r="N8" s="13"/>
    </row>
    <row r="9" spans="1:14" ht="45" customHeight="1">
      <c r="A9" s="7" t="s">
        <v>459</v>
      </c>
      <c r="B9" s="8" t="s">
        <v>460</v>
      </c>
      <c r="C9" s="8" t="s">
        <v>461</v>
      </c>
      <c r="D9" s="8" t="s">
        <v>462</v>
      </c>
      <c r="E9" s="8" t="s">
        <v>463</v>
      </c>
      <c r="F9" s="8" t="s">
        <v>464</v>
      </c>
      <c r="G9" s="8" t="s">
        <v>465</v>
      </c>
      <c r="H9" s="15" t="s">
        <v>90</v>
      </c>
      <c r="I9" s="7" t="s">
        <v>97</v>
      </c>
      <c r="J9" s="8"/>
      <c r="K9" s="7"/>
      <c r="L9" s="8"/>
      <c r="M9" s="7"/>
      <c r="N9" s="7"/>
    </row>
    <row r="10" spans="1:14" ht="45" customHeight="1">
      <c r="A10" s="13" t="s">
        <v>466</v>
      </c>
      <c r="B10" s="14" t="s">
        <v>460</v>
      </c>
      <c r="C10" s="14" t="s">
        <v>467</v>
      </c>
      <c r="D10" s="14" t="s">
        <v>468</v>
      </c>
      <c r="E10" s="14" t="s">
        <v>469</v>
      </c>
      <c r="F10" s="14" t="s">
        <v>470</v>
      </c>
      <c r="G10" s="14" t="s">
        <v>471</v>
      </c>
      <c r="H10" s="15" t="s">
        <v>90</v>
      </c>
      <c r="I10" s="13" t="s">
        <v>73</v>
      </c>
      <c r="J10" s="14"/>
      <c r="K10" s="13"/>
      <c r="L10" s="14"/>
      <c r="M10" s="13"/>
      <c r="N10" s="13"/>
    </row>
    <row r="11" spans="1:14" ht="45" customHeight="1">
      <c r="A11" s="7" t="s">
        <v>472</v>
      </c>
      <c r="B11" s="8" t="s">
        <v>460</v>
      </c>
      <c r="C11" s="8" t="s">
        <v>473</v>
      </c>
      <c r="D11" s="8" t="s">
        <v>474</v>
      </c>
      <c r="E11" s="8" t="s">
        <v>475</v>
      </c>
      <c r="F11" s="8" t="s">
        <v>476</v>
      </c>
      <c r="G11" s="8" t="s">
        <v>477</v>
      </c>
      <c r="H11" s="12" t="s">
        <v>72</v>
      </c>
      <c r="I11" s="7" t="s">
        <v>73</v>
      </c>
      <c r="J11" s="8"/>
      <c r="K11" s="7"/>
      <c r="L11" s="8"/>
      <c r="M11" s="7"/>
      <c r="N11" s="7"/>
    </row>
    <row r="12" spans="1:14" ht="45" customHeight="1">
      <c r="A12" s="13" t="s">
        <v>478</v>
      </c>
      <c r="B12" s="14" t="s">
        <v>460</v>
      </c>
      <c r="C12" s="14" t="s">
        <v>479</v>
      </c>
      <c r="D12" s="14" t="s">
        <v>480</v>
      </c>
      <c r="E12" s="14" t="s">
        <v>481</v>
      </c>
      <c r="F12" s="14" t="s">
        <v>482</v>
      </c>
      <c r="G12" s="14" t="s">
        <v>483</v>
      </c>
      <c r="H12" s="16" t="s">
        <v>96</v>
      </c>
      <c r="I12" s="13" t="s">
        <v>97</v>
      </c>
      <c r="J12" s="14"/>
      <c r="K12" s="13"/>
      <c r="L12" s="14"/>
      <c r="M12" s="13"/>
      <c r="N12" s="13"/>
    </row>
  </sheetData>
  <mergeCells count="1">
    <mergeCell ref="A1:N1"/>
  </mergeCells>
  <dataValidations count="1">
    <dataValidation type="list" allowBlank="1" showInputMessage="1" showErrorMessage="1" promptTitle="Trạng thái Test" prompt="Chọn: Pass, Fail, Blocked hoặc Untested" sqref="K3:K12">
      <formula1>"Pass,Fail,Blocked,Untested"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334155"/>
  </sheetPr>
  <dimension ref="A1:N8"/>
  <sheetViews>
    <sheetView workbookViewId="0">
      <pane xSplit="2" ySplit="2" topLeftCell="C3" activePane="bottomRight" state="frozen"/>
      <selection pane="topRight" activeCell="C1" sqref="C1"/>
      <selection pane="bottomLeft" activeCell="A3" sqref="A3"/>
      <selection pane="bottomRight"/>
    </sheetView>
  </sheetViews>
  <sheetFormatPr defaultRowHeight="15"/>
  <cols>
    <col min="1" max="1" width="14.7109375" customWidth="1"/>
    <col min="2" max="2" width="20.7109375" customWidth="1"/>
    <col min="3" max="3" width="28.7109375" customWidth="1"/>
    <col min="4" max="4" width="24.7109375" customWidth="1"/>
    <col min="5" max="5" width="32.7109375" customWidth="1"/>
    <col min="6" max="6" width="22.7109375" customWidth="1"/>
    <col min="7" max="7" width="32.7109375" customWidth="1"/>
    <col min="8" max="8" width="12.7109375" customWidth="1"/>
    <col min="9" max="9" width="10.7109375" customWidth="1"/>
    <col min="10" max="10" width="25.7109375" customWidth="1"/>
    <col min="11" max="11" width="12.7109375" customWidth="1"/>
    <col min="12" max="12" width="20.7109375" customWidth="1"/>
    <col min="13" max="13" width="14.7109375" customWidth="1"/>
    <col min="14" max="14" width="13.7109375" customWidth="1"/>
  </cols>
  <sheetData>
    <row r="1" spans="1:14" ht="32" customHeight="1">
      <c r="A1" s="1" t="s">
        <v>484</v>
      </c>
      <c r="B1" s="1"/>
      <c r="C1" s="1"/>
      <c r="D1" s="1"/>
      <c r="E1" s="1"/>
      <c r="F1" s="1"/>
      <c r="G1" s="1"/>
      <c r="H1" s="1"/>
      <c r="I1" s="1"/>
      <c r="J1" s="1"/>
      <c r="K1" s="1"/>
      <c r="L1" s="1"/>
      <c r="M1" s="1"/>
      <c r="N1" s="1"/>
    </row>
    <row r="2" spans="1:14" ht="28" customHeight="1">
      <c r="A2" s="6" t="s">
        <v>51</v>
      </c>
      <c r="B2" s="6" t="s">
        <v>52</v>
      </c>
      <c r="C2" s="6" t="s">
        <v>53</v>
      </c>
      <c r="D2" s="6" t="s">
        <v>54</v>
      </c>
      <c r="E2" s="6" t="s">
        <v>55</v>
      </c>
      <c r="F2" s="6" t="s">
        <v>56</v>
      </c>
      <c r="G2" s="6" t="s">
        <v>57</v>
      </c>
      <c r="H2" s="6" t="s">
        <v>58</v>
      </c>
      <c r="I2" s="6" t="s">
        <v>59</v>
      </c>
      <c r="J2" s="6" t="s">
        <v>60</v>
      </c>
      <c r="K2" s="6" t="s">
        <v>61</v>
      </c>
      <c r="L2" s="6" t="s">
        <v>62</v>
      </c>
      <c r="M2" s="6" t="s">
        <v>63</v>
      </c>
      <c r="N2" s="6" t="s">
        <v>64</v>
      </c>
    </row>
    <row r="3" spans="1:14" ht="45" customHeight="1">
      <c r="A3" s="7" t="s">
        <v>485</v>
      </c>
      <c r="B3" s="8" t="s">
        <v>486</v>
      </c>
      <c r="C3" s="8" t="s">
        <v>487</v>
      </c>
      <c r="D3" s="8" t="s">
        <v>488</v>
      </c>
      <c r="E3" s="8" t="s">
        <v>489</v>
      </c>
      <c r="F3" s="8" t="s">
        <v>490</v>
      </c>
      <c r="G3" s="8" t="s">
        <v>491</v>
      </c>
      <c r="H3" s="12" t="s">
        <v>72</v>
      </c>
      <c r="I3" s="7" t="s">
        <v>73</v>
      </c>
      <c r="J3" s="8"/>
      <c r="K3" s="7"/>
      <c r="L3" s="8"/>
      <c r="M3" s="7"/>
      <c r="N3" s="7"/>
    </row>
    <row r="4" spans="1:14" ht="45" customHeight="1">
      <c r="A4" s="13" t="s">
        <v>492</v>
      </c>
      <c r="B4" s="14" t="s">
        <v>493</v>
      </c>
      <c r="C4" s="14" t="s">
        <v>494</v>
      </c>
      <c r="D4" s="14" t="s">
        <v>495</v>
      </c>
      <c r="E4" s="14" t="s">
        <v>496</v>
      </c>
      <c r="F4" s="14" t="s">
        <v>497</v>
      </c>
      <c r="G4" s="14" t="s">
        <v>498</v>
      </c>
      <c r="H4" s="12" t="s">
        <v>72</v>
      </c>
      <c r="I4" s="13" t="s">
        <v>73</v>
      </c>
      <c r="J4" s="14"/>
      <c r="K4" s="13"/>
      <c r="L4" s="14"/>
      <c r="M4" s="13"/>
      <c r="N4" s="13"/>
    </row>
    <row r="5" spans="1:14" ht="45" customHeight="1">
      <c r="A5" s="7" t="s">
        <v>499</v>
      </c>
      <c r="B5" s="8" t="s">
        <v>500</v>
      </c>
      <c r="C5" s="8" t="s">
        <v>501</v>
      </c>
      <c r="D5" s="8" t="s">
        <v>502</v>
      </c>
      <c r="E5" s="8" t="s">
        <v>503</v>
      </c>
      <c r="F5" s="8" t="s">
        <v>504</v>
      </c>
      <c r="G5" s="8" t="s">
        <v>505</v>
      </c>
      <c r="H5" s="15" t="s">
        <v>90</v>
      </c>
      <c r="I5" s="7" t="s">
        <v>73</v>
      </c>
      <c r="J5" s="8"/>
      <c r="K5" s="7"/>
      <c r="L5" s="8"/>
      <c r="M5" s="7"/>
      <c r="N5" s="7"/>
    </row>
    <row r="6" spans="1:14" ht="45" customHeight="1">
      <c r="A6" s="13" t="s">
        <v>506</v>
      </c>
      <c r="B6" s="14" t="s">
        <v>507</v>
      </c>
      <c r="C6" s="14" t="s">
        <v>508</v>
      </c>
      <c r="D6" s="14" t="s">
        <v>509</v>
      </c>
      <c r="E6" s="14" t="s">
        <v>510</v>
      </c>
      <c r="F6" s="14" t="s">
        <v>511</v>
      </c>
      <c r="G6" s="14" t="s">
        <v>512</v>
      </c>
      <c r="H6" s="16" t="s">
        <v>96</v>
      </c>
      <c r="I6" s="13" t="s">
        <v>97</v>
      </c>
      <c r="J6" s="14"/>
      <c r="K6" s="13"/>
      <c r="L6" s="14"/>
      <c r="M6" s="13"/>
      <c r="N6" s="13"/>
    </row>
    <row r="7" spans="1:14" ht="45" customHeight="1">
      <c r="A7" s="7" t="s">
        <v>513</v>
      </c>
      <c r="B7" s="8" t="s">
        <v>514</v>
      </c>
      <c r="C7" s="8" t="s">
        <v>515</v>
      </c>
      <c r="D7" s="8" t="s">
        <v>516</v>
      </c>
      <c r="E7" s="8" t="s">
        <v>517</v>
      </c>
      <c r="F7" s="8" t="s">
        <v>518</v>
      </c>
      <c r="G7" s="8" t="s">
        <v>519</v>
      </c>
      <c r="H7" s="17" t="s">
        <v>117</v>
      </c>
      <c r="I7" s="7" t="s">
        <v>118</v>
      </c>
      <c r="J7" s="8"/>
      <c r="K7" s="7"/>
      <c r="L7" s="8"/>
      <c r="M7" s="7"/>
      <c r="N7" s="7"/>
    </row>
    <row r="8" spans="1:14" ht="45" customHeight="1">
      <c r="A8" s="13" t="s">
        <v>520</v>
      </c>
      <c r="B8" s="14" t="s">
        <v>521</v>
      </c>
      <c r="C8" s="14" t="s">
        <v>522</v>
      </c>
      <c r="D8" s="14" t="s">
        <v>523</v>
      </c>
      <c r="E8" s="14" t="s">
        <v>524</v>
      </c>
      <c r="F8" s="14" t="s">
        <v>525</v>
      </c>
      <c r="G8" s="14" t="s">
        <v>526</v>
      </c>
      <c r="H8" s="15" t="s">
        <v>90</v>
      </c>
      <c r="I8" s="13" t="s">
        <v>97</v>
      </c>
      <c r="J8" s="14"/>
      <c r="K8" s="13"/>
      <c r="L8" s="14"/>
      <c r="M8" s="13"/>
      <c r="N8" s="13"/>
    </row>
  </sheetData>
  <mergeCells count="1">
    <mergeCell ref="A1:N1"/>
  </mergeCells>
  <dataValidations count="1">
    <dataValidation type="list" allowBlank="1" showInputMessage="1" showErrorMessage="1" promptTitle="Trạng thái Test" prompt="Chọn: Pass, Fail, Blocked hoặc Untested" sqref="K3:K8">
      <formula1>"Pass,Fail,Blocked,Untested"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Tổng quan &amp; Dashboard</vt:lpstr>
      <vt:lpstr>2. Xác thực &amp; Hệ thống</vt:lpstr>
      <vt:lpstr>3. Phân hệ Sinh viên</vt:lpstr>
      <vt:lpstr>4. Phân hệ Giảng viên</vt:lpstr>
      <vt:lpstr>5. Giáo vụ &amp; Đào tạo</vt:lpstr>
      <vt:lpstr>6. Quản trị hệ thống</vt:lpstr>
      <vt:lpstr>7. Phi chức năng &amp; Bảo mật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2026-10-27T14:55:47Z</dcterms:created>
  <dcterms:modified xsi:type="dcterms:W3CDTF">2026-10-27T14:55:47Z</dcterms:modified>
</cp:coreProperties>
</file>