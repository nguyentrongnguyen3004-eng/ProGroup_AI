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. Xác thực &amp; Hệ thống" sheetId="1" r:id="rId1"/>
    <sheet name="3. Phân hệ Sinh viên" sheetId="2" r:id="rId2"/>
    <sheet name="4. Phân hệ Giảng viên" sheetId="3" r:id="rId3"/>
    <sheet name="5. Giáo vụ &amp; Đào tạo" sheetId="4" r:id="rId4"/>
    <sheet name="6. Quản trị hệ thống" sheetId="5" r:id="rId5"/>
    <sheet name="7. Phi chức năng &amp; Bảo mật" sheetId="6" r:id="rId6"/>
    <sheet name="1. Tổng quan &amp; Dashboard" sheetId="7" r:id="rId7"/>
  </sheets>
  <calcPr calcId="124519" fullCalcOnLoad="1"/>
</workbook>
</file>

<file path=xl/sharedStrings.xml><?xml version="1.0" encoding="utf-8"?>
<sst xmlns="http://schemas.openxmlformats.org/spreadsheetml/2006/main" count="1310" uniqueCount="907">
  <si>
    <t>📋 KỊCH BẢN KIỂM THỬ PHÂN HỆ XÁC THỰC &amp; CÀI ĐẶT HỆ THỐNG</t>
  </si>
  <si>
    <t>Mã TC (ID)</t>
  </si>
  <si>
    <t>Phân hệ / Tính năng</t>
  </si>
  <si>
    <t>Kịch bản kiểm thử (Scenario)</t>
  </si>
  <si>
    <t>Tiền điều kiện (Pre-conditions)</t>
  </si>
  <si>
    <t>Các bước thực hiện (Steps)</t>
  </si>
  <si>
    <t>Dữ liệu kiểm thử (Test Data)</t>
  </si>
  <si>
    <t>Kết quả mong đợi (Expected Result)</t>
  </si>
  <si>
    <t>Mức độ (Severity)</t>
  </si>
  <si>
    <t>Ưu tiên (Priority)</t>
  </si>
  <si>
    <t>Kết quả thực tế (Actual Result)</t>
  </si>
  <si>
    <t>Trạng thái (Status)</t>
  </si>
  <si>
    <t>Mã Bug / Ghi chú</t>
  </si>
  <si>
    <t>Tester</t>
  </si>
  <si>
    <t>Ngày test</t>
  </si>
  <si>
    <t>TC_AUTH_001</t>
  </si>
  <si>
    <t>Đăng nhập</t>
  </si>
  <si>
    <t>Đăng nhập thành công với tài khoản Sinh viên</t>
  </si>
  <si>
    <t>App tại màn hình Đăng nhập; Backend API đang chạy.</t>
  </si>
  <si>
    <t>1. Nhập Tên đăng nhập hợp lệ.
2. Nhập Mật khẩu chính xác.
3. Bấm nút 'Đăng nhập'.</t>
  </si>
  <si>
    <t>sv001 / 123456</t>
  </si>
  <si>
    <t>Đăng nhập thành công, lưu JWT Token vào SharedPreferences, vào thẳng Trang chủ Sinh viên.</t>
  </si>
  <si>
    <t>Critical</t>
  </si>
  <si>
    <t>P1</t>
  </si>
  <si>
    <t>TC_AUTH_002</t>
  </si>
  <si>
    <t>Đăng nhập thành công với tài khoản Giảng viên</t>
  </si>
  <si>
    <t>App tại màn hình Đăng nhập.</t>
  </si>
  <si>
    <t>1. Nhập tài khoản Giảng viên.
2. Nhập Mật khẩu.
3. Bấm 'Đăng nhập'.</t>
  </si>
  <si>
    <t>gv001 / 123456</t>
  </si>
  <si>
    <t>Chuyển hướng chính xác vào Trang chủ Giảng viên với menu quản lý lớp và đề tài.</t>
  </si>
  <si>
    <t>TC_AUTH_003</t>
  </si>
  <si>
    <t>Đăng nhập thành công với tài khoản Giáo vụ khoa</t>
  </si>
  <si>
    <t>1. Nhập tài khoản Giáo vụ.
2. Nhập Mật khẩu.
3. Bấm 'Đăng nhập'.</t>
  </si>
  <si>
    <t>gvk.demo / 123456</t>
  </si>
  <si>
    <t>Vào Dashboard Giáo vụ khoa, hiển thị quản lý LHP toàn khoa và phân công GV.</t>
  </si>
  <si>
    <t>High</t>
  </si>
  <si>
    <t>TC_AUTH_004</t>
  </si>
  <si>
    <t>Đăng nhập thành công với tài khoản Phòng đào tạo</t>
  </si>
  <si>
    <t>1. Nhập tài khoản Phòng Đào tạo.
2. Nhập Mật khẩu.
3. Bấm 'Đăng nhập'.</t>
  </si>
  <si>
    <t>pdt.demo / 123456</t>
  </si>
  <si>
    <t>Vào Dashboard Phòng đào tạo với số liệu thống kê đồ án toàn trường.</t>
  </si>
  <si>
    <t>TC_AUTH_005</t>
  </si>
  <si>
    <t>Đăng nhập thành công với tài khoản Quản trị viên (Admin)</t>
  </si>
  <si>
    <t>1. Nhập tài khoản Admin.
2. Nhập Mật khẩu.
3. Bấm 'Đăng nhập'.</t>
  </si>
  <si>
    <t>admin.demo / 123456</t>
  </si>
  <si>
    <t>Vào Dashboard Admin với đầy đủ quyền quản lý tài khoản, import Excel và biểu đồ vai trò.</t>
  </si>
  <si>
    <t>TC_AUTH_006</t>
  </si>
  <si>
    <t>Validate form</t>
  </si>
  <si>
    <t>Để trống Tên đăng nhập và bấm Đăng nhập</t>
  </si>
  <si>
    <t>Ở màn hình Đăng nhập.</t>
  </si>
  <si>
    <t>1. Để trống Tên đăng nhập.
2. Nhập mật khẩu: '123456'.
3. Bấm 'Đăng nhập'.</t>
  </si>
  <si>
    <t>Username: '' / Pass: 123456</t>
  </si>
  <si>
    <t>Hiển thị thông báo: 'Vui lòng nhập tên đăng nhập', không gửi request lên server.</t>
  </si>
  <si>
    <t>Medium</t>
  </si>
  <si>
    <t>P2</t>
  </si>
  <si>
    <t>TC_AUTH_007</t>
  </si>
  <si>
    <t>Để trống Mật khẩu và bấm Đăng nhập</t>
  </si>
  <si>
    <t>1. Nhập Tên đăng nhập: 'sv001'.
2. Để trống Mật khẩu.
3. Bấm 'Đăng nhập'.</t>
  </si>
  <si>
    <t>Username: sv001 / Pass: ''</t>
  </si>
  <si>
    <t>Hiển thị thông báo: 'Vui lòng nhập mật khẩu', không gửi request lên server.</t>
  </si>
  <si>
    <t>TC_AUTH_008</t>
  </si>
  <si>
    <t>Để trống cả Tên đăng nhập và Mật khẩu</t>
  </si>
  <si>
    <t>1. Không nhập gì cả.
2. Bấm nút 'Đăng nhập'.</t>
  </si>
  <si>
    <t>Cả hai trường đều rỗng</t>
  </si>
  <si>
    <t>Cảnh báo lỗi cả hai trường dữ liệu, không thực hiện gọi API.</t>
  </si>
  <si>
    <t>TC_AUTH_009</t>
  </si>
  <si>
    <t>Xác thực sai</t>
  </si>
  <si>
    <t>Đăng nhập với Tên đăng nhập không tồn tại</t>
  </si>
  <si>
    <t>Tài khoản không có trong DB.</t>
  </si>
  <si>
    <t>1. Nhập: 'khong_ton_tai_999'.
2. Nhập: '123456'.
3. Bấm 'Đăng nhập'.</t>
  </si>
  <si>
    <t>khong_ton_tai_999 / 123456</t>
  </si>
  <si>
    <t>Hiển thị lỗi: 'Tên đăng nhập hoặc mật khẩu không chính xác'. Không bị văng app.</t>
  </si>
  <si>
    <t>TC_AUTH_010</t>
  </si>
  <si>
    <t>Đăng nhập với Mật khẩu không chính xác</t>
  </si>
  <si>
    <t>Tài khoản sv001 tồn tại.</t>
  </si>
  <si>
    <t>1. Nhập: 'sv001'.
2. Nhập mật khẩu sai: 'sai_mat_khau'.
3. Bấm 'Đăng nhập'.</t>
  </si>
  <si>
    <t>sv001 / sai_mat_khau</t>
  </si>
  <si>
    <t>Hiển thị lỗi thông báo sai mật khẩu (HTTP 401 hoặc 400).</t>
  </si>
  <si>
    <t>TC_AUTH_011</t>
  </si>
  <si>
    <t>Bảo mật</t>
  </si>
  <si>
    <t>Đăng nhập với tài khoản đang bị Khóa (Trạng thái = False)</t>
  </si>
  <si>
    <t>Admin đã khóa tài khoản trong hệ thống.</t>
  </si>
  <si>
    <t>1. Nhập tài khoản bị khóa.
2. Nhập mật khẩu đúng.
3. Bấm 'Đăng nhập'.</t>
  </si>
  <si>
    <t>Tài khoản bị khóa</t>
  </si>
  <si>
    <t>Báo lỗi: 'Tài khoản của bạn đã bị khóa hoặc ngừng hoạt động'. Không cấp quyền truy cập.</t>
  </si>
  <si>
    <t>TC_AUTH_012</t>
  </si>
  <si>
    <t>Thử nghiệm tấn công SQL Injection vào ô Đăng nhập</t>
  </si>
  <si>
    <t>1. Nhập username: ' OR '1'='1 --
2. Nhập pass: ' OR '1'='1 --
3. Bấm 'Đăng nhập'.</t>
  </si>
  <si>
    <t>' OR '1'='1 --</t>
  </si>
  <si>
    <t>Backend xử lý bằng Entity Framework Core (tham số hóa an toàn), báo lỗi sai tài khoản, không bị SQL Injection.</t>
  </si>
  <si>
    <t>TC_AUTH_013</t>
  </si>
  <si>
    <t>UI Đăng nhập</t>
  </si>
  <si>
    <t>Kiểm tra nút ẩn / hiện mật khẩu (Obscure text)</t>
  </si>
  <si>
    <t>Đang nhập mật khẩu.</t>
  </si>
  <si>
    <t>1. Nhập mật khẩu vào ô.
2. Bấm icon con mắt.
3. Bấm lại lần nữa.</t>
  </si>
  <si>
    <t>Password: 'abc123XYZ'</t>
  </si>
  <si>
    <t>Mặc định che mật khẩu bằng dấu chấm tròn. Bấm mắt hiển thị ký tự thật, bấm lại che đi.</t>
  </si>
  <si>
    <t>Low</t>
  </si>
  <si>
    <t>P3</t>
  </si>
  <si>
    <t>TC_AUTH_014</t>
  </si>
  <si>
    <t>Lưu phiên</t>
  </si>
  <si>
    <t>Tự động khôi phục phiên đăng nhập khi tắt và mở lại app</t>
  </si>
  <si>
    <t>Đã đăng nhập thành công trước đó.</t>
  </si>
  <si>
    <t>1. Thoát hẳn ứng dụng (tắt task đa nhiệm).
2. Mở lại ứng dụng ProGroup AI.</t>
  </si>
  <si>
    <t>Token trong SharedPreferences</t>
  </si>
  <si>
    <t>App tự động khôi phục token và vào thẳng trang chủ tương ứng, không bắt đăng nhập lại.</t>
  </si>
  <si>
    <t>TC_AUTH_015</t>
  </si>
  <si>
    <t>Đăng xuất</t>
  </si>
  <si>
    <t>Đăng xuất tài khoản an toàn</t>
  </si>
  <si>
    <t>Người dùng đang đăng nhập.</t>
  </si>
  <si>
    <t>1. Vào tab 'Cá nhân'.
2. Kéo xuống bấm 'Đăng xuất'.
3. Xác nhận trên dialog.</t>
  </si>
  <si>
    <t>N/A</t>
  </si>
  <si>
    <t>Hủy phiên, xóa sạch JWT Token trong SharedPreferences, chuyển hướng về màn hình Đăng nhập.</t>
  </si>
  <si>
    <t>TC_AUTH_016</t>
  </si>
  <si>
    <t>Mạng &amp; Server</t>
  </si>
  <si>
    <t>Tự động nhận diện máy chủ qua cáp USB (ADB Reverse)</t>
  </si>
  <si>
    <t>Cắm cáp USB và đã chạy 'adb reverse tcp:5094 tcp:5094'.</t>
  </si>
  <si>
    <t>1. Mở ứng dụng.
2. Hàm autoDetectServer() tự ping 127.0.0.1:5094.</t>
  </si>
  <si>
    <t>http://127.0.0.1:5094</t>
  </si>
  <si>
    <t>Kết nối thành công trong &lt; 1 giây, gán làm BaseUrl chính.</t>
  </si>
  <si>
    <t>TC_AUTH_017</t>
  </si>
  <si>
    <t>Tự động nhận diện máy chủ qua mạng Wi-Fi LAN</t>
  </si>
  <si>
    <t>Rút cáp USB, điện thoại và máy tính chung Wi-Fi.</t>
  </si>
  <si>
    <t>1. Mở ứng dụng.
2. autoDetectServer() ping lần lượt các IP.</t>
  </si>
  <si>
    <t>http://192.168.x.x:5094</t>
  </si>
  <si>
    <t>Tự động fallback và kết nối tới IP LAN của máy tính, app hoạt động bình thường.</t>
  </si>
  <si>
    <t>TC_AUTH_018</t>
  </si>
  <si>
    <t>Xử lý khi máy tính chưa bật Backend API</t>
  </si>
  <si>
    <t>Backend chưa khởi chạy.</t>
  </si>
  <si>
    <t>1. Mở app trên điện thoại.
2. Quan sát phản ứng.</t>
  </si>
  <si>
    <t>Server offline</t>
  </si>
  <si>
    <t>Timeout sau 2-5 giây, app hiển thị thông báo không thể kết nối tới server, không crash app.</t>
  </si>
  <si>
    <t>TC_AUTH_019</t>
  </si>
  <si>
    <t>Kiểm tra nút 'Máy chủ' đã được ẩn trên giao diện Đăng nhập</t>
  </si>
  <si>
    <t>1. Quan sát góc trên bên phải màn hình Đăng nhập.</t>
  </si>
  <si>
    <t>Không còn nút 'Máy chủ' nào hiển thị, giao diện sạch sẽ, chuyên nghiệp.</t>
  </si>
  <si>
    <t>TC_AUTH_020</t>
  </si>
  <si>
    <t>Phím tắt Dev</t>
  </si>
  <si>
    <t>Mở hộp thoại Cấu hình Máy chủ bằng cách nhấn giữ Logo</t>
  </si>
  <si>
    <t>1. Dùng ngón tay nhấn giữ (Long press) vào Logo ProGroup AI khoảng 1 giây.</t>
  </si>
  <si>
    <t>GestureDetector onLongPress</t>
  </si>
  <si>
    <t>Hộp thoại ServerConfigDialog hiện lên cho phép Dev kiểm tra IP, ping và đổi máy chủ nếu cần.</t>
  </si>
  <si>
    <t>TC_AUTH_021</t>
  </si>
  <si>
    <t>Cấu hình Server</t>
  </si>
  <si>
    <t>Thử nghiệm ping và lưu IP máy chủ mới trong dialog</t>
  </si>
  <si>
    <t>Đang mở ServerConfigDialog.</t>
  </si>
  <si>
    <t>1. Nhập IP máy chủ mới.
2. Bấm 'Kiểm tra kết nối (Ping)'.
3. Bấm 'Lưu cấu hình'.</t>
  </si>
  <si>
    <t>IP: http://192.168.1.109:5094</t>
  </si>
  <si>
    <t>Báo kết quả ping thành công/thất bại trực quan. Bấm lưu sẽ cập nhật BaseUrl của app.</t>
  </si>
  <si>
    <t>TC_AUTH_022</t>
  </si>
  <si>
    <t>Giao diện</t>
  </si>
  <si>
    <t>Chuyển đổi giao diện Tối (Dark Mode) và lưu cấu hình</t>
  </si>
  <si>
    <t>Đang trong app.</t>
  </si>
  <si>
    <t>1. Vào Cá nhân &gt; Cài đặt giao diện &gt; Chọn 'Chế độ Tối'.
2. Thoát app và mở lại.</t>
  </si>
  <si>
    <t>ThemeMode.dark</t>
  </si>
  <si>
    <t>Toàn bộ background đổi sang xanh đen slate, chữ chuyển màu trắng sáng. Mở lại app vẫn giữ Dark mode.</t>
  </si>
  <si>
    <t>TC_AUTH_023</t>
  </si>
  <si>
    <t>Chuyển đổi giao diện Sáng (Light Mode)</t>
  </si>
  <si>
    <t>Đang ở Dark Mode.</t>
  </si>
  <si>
    <t>1. Chọn 'Chế độ Sáng'.
2. Quan sát giao diện.</t>
  </si>
  <si>
    <t>ThemeMode.light</t>
  </si>
  <si>
    <t>Nền đổi về trắng xám nhẹ, thanh AppBar giữ gradient xanh navy thương hiệu, chữ đổi về màu đen/xanh đậm.</t>
  </si>
  <si>
    <t>TC_AUTH_024</t>
  </si>
  <si>
    <t>Đa ngôn ngữ</t>
  </si>
  <si>
    <t>Đổi ngôn ngữ sang Tiếng Anh (English)</t>
  </si>
  <si>
    <t>App đang ở Tiếng Việt.</t>
  </si>
  <si>
    <t>1. Vào Cài đặt &gt; Ngôn ngữ &gt; Chọn 'English'.</t>
  </si>
  <si>
    <t>Locale('en')</t>
  </si>
  <si>
    <t>Toàn bộ nhãn, tiêu đề màn hình, nút bấm đổi sang tiếng Anh (Login, Courses, Topics, Profile...).</t>
  </si>
  <si>
    <t>TC_AUTH_025</t>
  </si>
  <si>
    <t>Cập nhật OTA</t>
  </si>
  <si>
    <t>Kiểm tra phiên bản ứng dụng từ Backend</t>
  </si>
  <si>
    <t>Có kết nối mạng.</t>
  </si>
  <si>
    <t>1. Vào Cá nhân &gt; Thông tin ứng dụng &gt; Bấm 'Kiểm tra bản cập nhật'.</t>
  </si>
  <si>
    <t>GET /api/app/version</t>
  </si>
  <si>
    <t>Nếu là bản mới nhất: Báo 'Ứng dụng đang ở phiên bản mới nhất (1.0.0)'. Không hiện popup lỗi.</t>
  </si>
  <si>
    <t>📋 KỊCH BẢN KIỂM THỬ PHÂN HỆ SINH VIÊN (STUDENT MODULE)</t>
  </si>
  <si>
    <t>TC_STU_001</t>
  </si>
  <si>
    <t>Trang chủ</t>
  </si>
  <si>
    <t>Hiển thị thông tin cá nhân và Avatar trên Header</t>
  </si>
  <si>
    <t>Đăng nhập tài khoản sv001.</t>
  </si>
  <si>
    <t>1. Vào tab Trang chủ.
2. Quan sát góc trên màn hình.</t>
  </si>
  <si>
    <t>Trần Minh Quang (sv001)</t>
  </si>
  <si>
    <t>Hiển thị đúng lời chào 'Xin chào, Trần Minh Quang', ảnh Avatar cá nhân, nút chuông thông báo có badge.</t>
  </si>
  <si>
    <t>TC_STU_002</t>
  </si>
  <si>
    <t>Kiểm tra 3 thẻ thống kê tổng quan (Lớp học, Nhóm, Đề tài)</t>
  </si>
  <si>
    <t>Ở Trang chủ Sinh viên.</t>
  </si>
  <si>
    <t>1. Quan sát 3 thẻ thống kê.
2. Đối chiếu số liệu với CSDL.</t>
  </si>
  <si>
    <t>GET /api/student/courses, groups, topics</t>
  </si>
  <si>
    <t>Thẻ hiển thị đúng: Số lớp học phần đang học, Trạng thái nhóm, Trạng thái đề tài của sinh viên.</t>
  </si>
  <si>
    <t>TC_STU_003</t>
  </si>
  <si>
    <t>Banner Trợ lý AI gợi ý đề tài trên trang chủ</t>
  </si>
  <si>
    <t>1. Bấm vào nút 'Khám phá ngay' trên Banner AI Gemini.</t>
  </si>
  <si>
    <t>Chuyển ngay sang màn hình Trợ lý AI tư vấn đề tài.</t>
  </si>
  <si>
    <t>TC_STU_004</t>
  </si>
  <si>
    <t>Làm mới dữ liệu trang chủ bằng thao tác kéo (Pull-to-refresh)</t>
  </si>
  <si>
    <t>1. Vuốt màn hình từ trên xuống dưới.
2. Thả tay.</t>
  </si>
  <si>
    <t>Icon loading xoay tròn, gọi lại đồng thời các API lấy lớp học, nhóm, thông báo mới nhất.</t>
  </si>
  <si>
    <t>TC_STU_005</t>
  </si>
  <si>
    <t>Lớp học phần</t>
  </si>
  <si>
    <t>Xem danh sách các LHP sinh viên đang theo học</t>
  </si>
  <si>
    <t>Sinh viên đã được gán vào ít nhất 1 LHP.</t>
  </si>
  <si>
    <t>1. Bấm vào tab 'Lớp học phần'.
2. Xem danh sách thẻ LHP.</t>
  </si>
  <si>
    <t>GET /api/student/courses</t>
  </si>
  <si>
    <t>Hiển thị danh sách card LHP: Mã lớp, Tên môn học, Học kỳ, Tên giảng viên phụ trách, sĩ số lớp.</t>
  </si>
  <si>
    <t>TC_STU_006</t>
  </si>
  <si>
    <t>Tìm kiếm LHP theo Tên môn học hoặc Mã lớp</t>
  </si>
  <si>
    <t>Sinh viên có nhiều LHP.</t>
  </si>
  <si>
    <t>1. Nhập từ khóa 'Di động' vào ô tìm kiếm.
2. Quan sát danh sách.</t>
  </si>
  <si>
    <t>Từ khóa: 'Di động'</t>
  </si>
  <si>
    <t>Danh sách chỉ hiển thị các LHP có tên hoặc mã chứa từ khóa 'Di động'.</t>
  </si>
  <si>
    <t>TC_STU_007</t>
  </si>
  <si>
    <t>Xem chi tiết một Lớp học phần</t>
  </si>
  <si>
    <t>Tại danh sách LHP.</t>
  </si>
  <si>
    <t>1. Bấm vào card môn 'Phát triển ứng dụng di động'.</t>
  </si>
  <si>
    <t>LHP ID: 1</t>
  </si>
  <si>
    <t>Mở màn hình chi tiết: xem giảng viên phụ trách, danh sách đợt đăng ký đồ án của lớp, thời hạn đăng ký.</t>
  </si>
  <si>
    <t>TC_STU_008</t>
  </si>
  <si>
    <t>Hiển thị empty state khi sinh viên chưa có LHP nào</t>
  </si>
  <si>
    <t>Tài khoản sinh viên mới chưa ghi danh LHP.</t>
  </si>
  <si>
    <t>1. Đăng nhập tài khoản mới.
2. Vào tab Lớp học phần.</t>
  </si>
  <si>
    <t>SV mới</t>
  </si>
  <si>
    <t>Hiển thị icon minh họa và text: 'Bạn chưa tham gia lớp học phần nào' kèm nút 'Tải lại'. Không crash.</t>
  </si>
  <si>
    <t>TC_STU_009</t>
  </si>
  <si>
    <t>Quản lý nhóm</t>
  </si>
  <si>
    <t>Xem thông tin nhóm đồ án hiện tại của sinh viên</t>
  </si>
  <si>
    <t>Sinh viên đã thuộc về một nhóm.</t>
  </si>
  <si>
    <t>1. Bấm vào tab 'Nhóm'.
2. Xem thông tin hiển thị.</t>
  </si>
  <si>
    <t>GET /api/student/groups</t>
  </si>
  <si>
    <t>Hiển thị: Tên nhóm, Trưởng nhóm (có huy hiệu nhóm trưởng), Danh sách thành viên (MSSV, Họ tên), Đề tài đã chọn.</t>
  </si>
  <si>
    <t>TC_STU_010</t>
  </si>
  <si>
    <t>Trưởng nhóm đổi tên nhóm đồ án thành công</t>
  </si>
  <si>
    <t>Đăng nhập tài khoản Trưởng nhóm.</t>
  </si>
  <si>
    <t>1. Tại trang Nhóm, bấm icon bút chì cạnh tên nhóm.
2. Nhập tên mới: 'Nhóm Pro Flutter 2026'.
3. Bấm 'Lưu'.</t>
  </si>
  <si>
    <t>PUT /api/groups/{id}/name {'tenNhom': '...'}</t>
  </si>
  <si>
    <t>Cập nhật tên nhóm thành công trên UI và Backend. Thông báo 'Đổi tên nhóm thành công'.</t>
  </si>
  <si>
    <t>TC_STU_011</t>
  </si>
  <si>
    <t>Thành viên thường không có quyền đổi tên nhóm</t>
  </si>
  <si>
    <t>Đăng nhập tài khoản là thành viên thường (không phải nhóm trưởng).</t>
  </si>
  <si>
    <t>1. Vào trang Nhóm.
2. Kiểm tra giao diện cạnh tên nhóm.</t>
  </si>
  <si>
    <t>Role thành viên</t>
  </si>
  <si>
    <t>Không hiển thị icon chỉnh sửa tên nhóm (chỉ trưởng nhóm mới có quyền).</t>
  </si>
  <si>
    <t>TC_STU_012</t>
  </si>
  <si>
    <t>Báo lỗi khi đổi tên nhóm để trống hoặc chỉ có khoảng trắng</t>
  </si>
  <si>
    <t>Là Trưởng nhóm.</t>
  </si>
  <si>
    <t>1. Bấm đổi tên nhóm.
2. Xóa sạch để trống hoặc nhập '   '.
3. Bấm 'Lưu'.</t>
  </si>
  <si>
    <t>Tên rỗng</t>
  </si>
  <si>
    <t>Hiển thị cảnh báo: 'Tên nhóm không được để trống'. Không gửi request rác lên server.</t>
  </si>
  <si>
    <t>TC_STU_013</t>
  </si>
  <si>
    <t>Ngân hàng đề tài</t>
  </si>
  <si>
    <t>Xem danh sách đề tài đồ án do Giảng viên công bố</t>
  </si>
  <si>
    <t>Đợt đăng ký đang Mở.</t>
  </si>
  <si>
    <t>1. Vào tab 'Đề tài'.
2. Xem danh sách các đề tài.</t>
  </si>
  <si>
    <t>GET /api/de-tai</t>
  </si>
  <si>
    <t>Hiển thị danh sách card đề tài: Tên đề tài, Giảng viên ra đề, Công nghệ yêu cầu, Trạng thái còn chỗ/hết chỗ.</t>
  </si>
  <si>
    <t>TC_STU_014</t>
  </si>
  <si>
    <t>Tìm kiếm đề tài theo Tên đề tài hoặc Công nghệ</t>
  </si>
  <si>
    <t>Tại màn hình Đề tài.</t>
  </si>
  <si>
    <t>1. Nhập 'Flutter' vào ô tìm kiếm.
2. Nhập 'AI' vào ô tìm kiếm.</t>
  </si>
  <si>
    <t>Search: 'Flutter'</t>
  </si>
  <si>
    <t>Lập tức lọc danh sách đề tài chứa công nghệ Flutter hoặc AI.</t>
  </si>
  <si>
    <t>TC_STU_015</t>
  </si>
  <si>
    <t>Xem chi tiết nội dung đề tài đồ án</t>
  </si>
  <si>
    <t>Tại danh sách đề tài.</t>
  </si>
  <si>
    <t>1. Bấm vào một đề tài bất kỳ.</t>
  </si>
  <si>
    <t>Đề tài: 'Hệ thống Quản lý Đồ án AI'</t>
  </si>
  <si>
    <t>Hiển thị đầy đủ: Mục tiêu nghiên cứu, Phạm vi đồ án, Công nghệ đề xuất, Số nhóm tối đa được nhận, Giảng viên hướng dẫn.</t>
  </si>
  <si>
    <t>TC_STU_016</t>
  </si>
  <si>
    <t>Đăng ký đề tài</t>
  </si>
  <si>
    <t>Trưởng nhóm đăng ký đề tài thành công khi thỏa mãn điều kiện</t>
  </si>
  <si>
    <t>Nhóm trưởng chưa đăng ký đề tài nào; nhóm đủ số lượng thành viên tối thiểu; đề tài còn chỗ.</t>
  </si>
  <si>
    <t>1. Chọn đề tài mong muốn.
2. Bấm nút 'Đăng ký đề tài'.
3. Xác nhận trên dialog.</t>
  </si>
  <si>
    <t>POST /api/dang-ky-de-tai {nhomId, deTaiId}</t>
  </si>
  <si>
    <t>Đăng ký thành công, trạng thái chuyển sang 'Chờ duyệt', slot của đề tài được cập nhật, hiện thông báo thành công.</t>
  </si>
  <si>
    <t>TC_STU_017</t>
  </si>
  <si>
    <t>Thành viên thường bấm Đăng ký đề tài bị chặn</t>
  </si>
  <si>
    <t>Tài khoản đăng nhập là thành viên thường trong nhóm.</t>
  </si>
  <si>
    <t>1. Chọn đề tài.
2. Bấm 'Đăng ký đề tài'.</t>
  </si>
  <si>
    <t>Thành viên thường</t>
  </si>
  <si>
    <t>Báo lỗi: 'Chỉ có Nhóm trưởng mới có quyền đăng ký đề tài cho nhóm'.</t>
  </si>
  <si>
    <t>TC_STU_018</t>
  </si>
  <si>
    <t>Chặn đăng ký khi nhóm đã có đề tài được duyệt chính thức</t>
  </si>
  <si>
    <t>Nhóm đã có 1 đề tài ở trạng thái 'Đã duyệt'.</t>
  </si>
  <si>
    <t>1. Vào chọn một đề tài khác.
2. Bấm nút 'Đăng ký đề tài'.</t>
  </si>
  <si>
    <t>Đăng ký trùng</t>
  </si>
  <si>
    <t>Nút đăng ký bị vô hiệu hóa hoặc hệ thống báo lỗi: 'Nhóm của bạn đã có đề tài được duyệt'.</t>
  </si>
  <si>
    <t>TC_STU_019</t>
  </si>
  <si>
    <t>Chặn đăng ký khi nhóm chưa đủ số thành viên tối thiểu</t>
  </si>
  <si>
    <t>Quy định đợt yêu cầu tối thiểu 2 thành viên, nhóm hiện chỉ có 1 thành viên.</t>
  </si>
  <si>
    <t>1. Bấm 'Đăng ký đề tài'.</t>
  </si>
  <si>
    <t>Nhóm 1 thành viên (Min = 2)</t>
  </si>
  <si>
    <t>Báo lỗi: 'Nhóm của bạn chưa đủ số thành viên tối thiểu (yêu cầu tối thiểu 2 thành viên)'.</t>
  </si>
  <si>
    <t>TC_STU_020</t>
  </si>
  <si>
    <t>Chặn đăng ký khi đề tài đã hết slot (Đã đủ số nhóm)</t>
  </si>
  <si>
    <t>Đề tài đã đạt số nhóm tối đa (ví dụ 1/1 hoặc 2/2).</t>
  </si>
  <si>
    <t>1. Chọn đề tài đã đầy.
2. Bấm 'Đăng ký đề tài'.</t>
  </si>
  <si>
    <t>Đề tài full slots</t>
  </si>
  <si>
    <t>Báo lỗi: 'Đề tài này đã đủ số lượng nhóm đăng ký, vui lòng chọn đề tài khác'.</t>
  </si>
  <si>
    <t>TC_STU_021</t>
  </si>
  <si>
    <t>Hủy đăng ký</t>
  </si>
  <si>
    <t>Hủy đăng ký đề tài thành công khi đang ở trạng thái 'Chờ duyệt'</t>
  </si>
  <si>
    <t>Đơn đăng ký đang ở trạng thái 'Chờ duyệt' (chưa được GV duyệt).</t>
  </si>
  <si>
    <t>1. Vào chi tiết đăng ký của nhóm.
2. Bấm nút 'Hủy đăng ký'.
3. Xác nhận 'Đồng ý hủy'.</t>
  </si>
  <si>
    <t>DELETE /api/dang-ky-de-tai/{id}</t>
  </si>
  <si>
    <t>Hủy đăng ký thành công, trạng thái nhóm quay lại Chưa đăng ký, slot đề tài được trả lại.</t>
  </si>
  <si>
    <t>TC_STU_022</t>
  </si>
  <si>
    <t>Không cho phép hủy đăng ký khi đề tài đã được Giảng viên Duyệt</t>
  </si>
  <si>
    <t>Đơn đăng ký đã ở trạng thái 'Đã duyệt'.</t>
  </si>
  <si>
    <t>1. Vào xem thông tin đề tài của nhóm.
2. Kiểm tra nút 'Hủy đăng ký'.</t>
  </si>
  <si>
    <t>Đề tài đã duyệt</t>
  </si>
  <si>
    <t>Nút Hủy đăng ký không hiển thị hoặc bị vô hiệu hóa (muốn đổi phải liên hệ trực tiếp Giảng viên).</t>
  </si>
  <si>
    <t>TC_STU_023</t>
  </si>
  <si>
    <t>Đề xuất đề tài</t>
  </si>
  <si>
    <t>Sinh viên tự đề xuất đề tài mới cho nhóm thành công</t>
  </si>
  <si>
    <t>Đợt đăng ký cho phép đề xuất đề tài; nhóm chưa có đề tài được duyệt.</t>
  </si>
  <si>
    <t>1. Vào mục 'Đề xuất đề tài'.
2. Nhập: Tên đề tài, Mục tiêu, Phạm vi, Công nghệ đề xuất.
3. Chọn Đợt đăng ký tương ứng.
4. Bấm 'Gửi đề xuất'.</t>
  </si>
  <si>
    <t>POST /api/de-tai/de-xuat</t>
  </si>
  <si>
    <t>Tạo đề xuất thành công, trạng thái 'Chờ duyệt', đề tài xuất hiện trong tab Đề xuất của tôi và gửi thông báo tới GV.</t>
  </si>
  <si>
    <t>TC_STU_024</t>
  </si>
  <si>
    <t>Validate form đề xuất đề tài (bắt buộc nhập đủ trường)</t>
  </si>
  <si>
    <t>Tại màn hình Đề xuất đề tài.</t>
  </si>
  <si>
    <t>1. Để trống Tên đề tài hoặc Mục tiêu.
2. Bấm 'Gửi đề xuất'.</t>
  </si>
  <si>
    <t>Báo lỗi màu đỏ dưới các trường bắt buộc, không gửi request lên server.</t>
  </si>
  <si>
    <t>TC_STU_025</t>
  </si>
  <si>
    <t>Báo cáo tiến độ</t>
  </si>
  <si>
    <t>Xem danh sách các cột mốc nộp báo cáo tiến độ đồ án</t>
  </si>
  <si>
    <t>Nhóm đã có đề tài chính thức.</t>
  </si>
  <si>
    <t>1. Vào mục 'Báo cáo tiến độ'.
2. Quan sát các mốc tuần (Tuần 1, Tuần 3, Tuần 6...).</t>
  </si>
  <si>
    <t>GET /api/progress-reports</t>
  </si>
  <si>
    <t>Hiển thị danh sách các mốc báo cáo kèm hạn chót (Deadline), trạng thái Chưa nộp / Đã nộp / Đã chấm.</t>
  </si>
  <si>
    <t>TC_STU_026</t>
  </si>
  <si>
    <t>Nộp báo cáo tiến độ đồ án đúng hạn kèm link tài liệu</t>
  </si>
  <si>
    <t>Mốc báo cáo đang trong thời hạn cho phép nộp.</t>
  </si>
  <si>
    <t>1. Chọn mốc báo cáo cần nộp.
2. Nhập tóm tắt công việc đã hoàn thành.
3. Nhập link GitHub / Google Drive tài liệu.
4. Bấm 'Nộp báo cáo'.</t>
  </si>
  <si>
    <t>Link: https://github.com/progroup-ai/repo</t>
  </si>
  <si>
    <t>Nộp thành công, trạng thái chuyển sang 'Đã nộp - Chờ đánh giá', ghi nhận thời gian nộp.</t>
  </si>
  <si>
    <t>TC_STU_027</t>
  </si>
  <si>
    <t>Validate định dạng URL link báo cáo</t>
  </si>
  <si>
    <t>Ở form nộp báo cáo.</t>
  </si>
  <si>
    <t>1. Nhập link sai định dạng: 'day_khong_phai_link'.
2. Bấm 'Nộp báo cáo'.</t>
  </si>
  <si>
    <t>day_khong_phai_link</t>
  </si>
  <si>
    <t>Hiển thị cảnh báo: 'Vui lòng nhập đường dẫn URL hợp lệ (bắt đầu bằng http:// hoặc https://)'.</t>
  </si>
  <si>
    <t>TC_STU_028</t>
  </si>
  <si>
    <t>Xem điểm số và nhận xét đánh giá từ Giảng viên</t>
  </si>
  <si>
    <t>Giảng viên đã chấm điểm mốc báo cáo.</t>
  </si>
  <si>
    <t>1. Vào chi tiết mốc báo cáo đã được chấm.</t>
  </si>
  <si>
    <t>Điểm: 9.0</t>
  </si>
  <si>
    <t>Hiển thị điểm số (9.0/10), trạng thái 'Đạt', hiển thị chi tiết nhận xét đánh giá của giảng viên.</t>
  </si>
  <si>
    <t>TC_STU_029</t>
  </si>
  <si>
    <t>Trợ lý AI Gemini</t>
  </si>
  <si>
    <t>Tư vấn gợi ý đề tài với số lượng 3 đề tài (Mặc định)</t>
  </si>
  <si>
    <t>Tại màn hình Trợ lý AI; có kết nối mạng.</t>
  </si>
  <si>
    <t>1. Chọn Lĩnh vực: 'Trí tuệ nhân tạo'.
2. Chọn Nền tảng: 'Mobile / Flutter'.
3. Giữ số lượng đề tài là 3.
4. Bấm 'Gợi ý đề tài'.</t>
  </si>
  <si>
    <t>topicCount = 3</t>
  </si>
  <si>
    <t>AI sinh ra chính xác 3 đề tài có cấu trúc: Tên đề tài, Tính cấp thiết, Mục tiêu, Công nghệ áp dụng.</t>
  </si>
  <si>
    <t>TC_STU_030</t>
  </si>
  <si>
    <t>Tùy chọn số lượng đề tài AI sinh ra (1, 2, 5, 10 đề tài)</t>
  </si>
  <si>
    <t>Ở màn hình Trợ lý AI.</t>
  </si>
  <si>
    <t>1. Bấm chọn chip số lượng là '5' (hoặc '10').
2. Bấm 'Gợi ý đề tài'.</t>
  </si>
  <si>
    <t>topicCount = 5</t>
  </si>
  <si>
    <t>AI phản hồi danh sách gồm đúng 5 đề tài tương ứng, được đánh số rõ ràng.</t>
  </si>
  <si>
    <t>TC_STU_031</t>
  </si>
  <si>
    <t>Chat trực tiếp với Trợ lý AI về định hướng đồ án</t>
  </si>
  <si>
    <t>1. Gõ tin nhắn vào khung chat: 'Em muốn làm đề tài về nhận diện biển số xe thì cần chuẩn bị kiến thức gì?'.
2. Bấm nút gửi.</t>
  </si>
  <si>
    <t>Chat consult</t>
  </si>
  <si>
    <t>AI phản hồi thông minh, giải thích lộ trình kiến thức (OpenCV, YOLO, Python, Flutter...) theo văn phong học thuật.</t>
  </si>
  <si>
    <t>TC_STU_032</t>
  </si>
  <si>
    <t>Xử lý lỗi khi mất mạng trong lúc gọi Trợ lý AI</t>
  </si>
  <si>
    <t>Tắt Wi-Fi / ngắt mạng.</t>
  </si>
  <si>
    <t>1. Bấm 'Gợi ý đề tài'.</t>
  </si>
  <si>
    <t>No network</t>
  </si>
  <si>
    <t>Báo lỗi thân thiện: 'Không thể kết nối Gemini AI. Vui lòng kiểm tra kết nối mạng' kèm nút 'Thử lại'. Không crash.</t>
  </si>
  <si>
    <t>TC_STU_033</t>
  </si>
  <si>
    <t>Thông báo</t>
  </si>
  <si>
    <t>Nhận thông báo khi Giảng viên Duyệt đề tài</t>
  </si>
  <si>
    <t>Giảng viên vừa duyệt đề tài của nhóm.</t>
  </si>
  <si>
    <t>1. Vào màn hình Thông báo.
2. Quan sát thông báo mới nhất.</t>
  </si>
  <si>
    <t>Notification push</t>
  </si>
  <si>
    <t>Xuất hiện thông báo: 'Đề tài [Tên đề tài] của nhóm bạn đã được Giảng viên phê duyệt!', có chấm xanh chưa đọc.</t>
  </si>
  <si>
    <t>TC_STU_034</t>
  </si>
  <si>
    <t>Đánh dấu 1 thông báo là đã đọc khi bấm vào</t>
  </si>
  <si>
    <t>Có thông báo chưa đọc.</t>
  </si>
  <si>
    <t>1. Bấm vào thông báo chưa đọc.
2. Quay lại danh sách thông báo.</t>
  </si>
  <si>
    <t>PUT /api/notifications/{id}/read</t>
  </si>
  <si>
    <t>Thông báo mất chấm xanh, chuyển sang trạng thái đã đọc, số lượng trên badge giảm 1.</t>
  </si>
  <si>
    <t>TC_STU_035</t>
  </si>
  <si>
    <t>Bấm 'Đánh dấu tất cả đã đọc'</t>
  </si>
  <si>
    <t>Có nhiều thông báo chưa đọc.</t>
  </si>
  <si>
    <t>1. Bấm icon 'Đánh dấu tất cả đã đọc' ở góc trên AppBar.</t>
  </si>
  <si>
    <t>PUT /api/notifications/read-all</t>
  </si>
  <si>
    <t>Tất cả thông báo chuyển sang trạng thái đã đọc, badge chuông biến mất (số = 0).</t>
  </si>
  <si>
    <t>TC_STU_036</t>
  </si>
  <si>
    <t>Hồ sơ cá nhân</t>
  </si>
  <si>
    <t>Xem thông tin chi tiết sinh viên (MSSV, Ngày sinh, Khoa)</t>
  </si>
  <si>
    <t>Đăng nhập sv001.</t>
  </si>
  <si>
    <t>1. Vào tab 'Cá nhân'.
2. Xem các trường thông tin.</t>
  </si>
  <si>
    <t>GET /api/profile</t>
  </si>
  <si>
    <t>Hiển thị đúng MSSV, Họ tên, Ngày sinh, Giới tính, Khoa Công nghệ thông tin, Lớp học phần tham gia.</t>
  </si>
  <si>
    <t>TC_STU_037</t>
  </si>
  <si>
    <t>Cập nhật Số điện thoại liên hệ cá nhân</t>
  </si>
  <si>
    <t>Ở trang Cá nhân.</t>
  </si>
  <si>
    <t>1. Bấm 'Chỉnh sửa hồ sơ'.
2. Nhập số điện thoại mới: '0909123456'.
3. Bấm 'Lưu'.</t>
  </si>
  <si>
    <t>PUT /api/profile</t>
  </si>
  <si>
    <t>Cập nhật thành công, số điện thoại mới hiển thị trên hồ sơ.</t>
  </si>
  <si>
    <t>TC_STU_038</t>
  </si>
  <si>
    <t>Avatar cá nhân</t>
  </si>
  <si>
    <t>Đổi ảnh đại diện từ thư viện ảnh thiết bị thành công</t>
  </si>
  <si>
    <t>Thiết bị có sẵn file ảnh hợp lệ.</t>
  </si>
  <si>
    <t>1. Bấm vào icon camera trên Avatar.
2. Chọn ảnh từ thư viện thiết bị.
3. Xác nhận tải lên.</t>
  </si>
  <si>
    <t>File ảnh JPG dung lượng 2MB</t>
  </si>
  <si>
    <t>Ảnh tải lên Backend (POST /api/profile/avatar), Avatar tại trang Cá nhân và Trang chủ cập nhật tức thì.</t>
  </si>
  <si>
    <t>📋 KỊCH BẢN KIỂM THỬ PHÂN HỆ GIẢNG VIÊN (LECTURER MODULE)</t>
  </si>
  <si>
    <t>TC_LEC_001</t>
  </si>
  <si>
    <t>Trang chủ GV</t>
  </si>
  <si>
    <t>Hiển thị lời chào, học vị và thống kê tổng quan</t>
  </si>
  <si>
    <t>Đăng nhập gv001.</t>
  </si>
  <si>
    <t>1. Vào Trang chủ Giảng viên.
2. Quan sát các thẻ thống kê.</t>
  </si>
  <si>
    <t>GET /api/lecturer/statistics</t>
  </si>
  <si>
    <t>Hiển thị lời chào: 'Xin chào, ThS. Nguyễn Văn A', thẻ: Lớp học phụ trách, Đề tài đã tạo, Nhóm cần duyệt.</t>
  </si>
  <si>
    <t>TC_LEC_002</t>
  </si>
  <si>
    <t>Xem danh sách các LHP được phân công giảng dạy</t>
  </si>
  <si>
    <t>Giảng viên có ít nhất 1 LHP.</t>
  </si>
  <si>
    <t>1. Vào tab 'Lớp học phần'.
2. Xem danh sách.</t>
  </si>
  <si>
    <t>GET /api/lecturer/courses</t>
  </si>
  <si>
    <t>Hiển thị danh sách card LHP: Mã lớp, Tên môn, Học kỳ, Số lượng sinh viên, Đợt đăng ký tương ứng.</t>
  </si>
  <si>
    <t>TC_LEC_003</t>
  </si>
  <si>
    <t>Chi tiết LHP</t>
  </si>
  <si>
    <t>Xem danh sách nhóm sinh viên trong một LHP cụ thể</t>
  </si>
  <si>
    <t>Tại danh sách LHP của GV.</t>
  </si>
  <si>
    <t>1. Bấm vào một LHP cụ thể.
2. Chuyển sang tab 'Nhóm sinh viên'.</t>
  </si>
  <si>
    <t>Hiển thị danh sách tất cả các nhóm trong lớp, trưởng nhóm, sĩ số nhóm, đề tài nhóm đã đăng ký.</t>
  </si>
  <si>
    <t>TC_LEC_004</t>
  </si>
  <si>
    <t>Xem danh sách đề tài thuộc về LHP</t>
  </si>
  <si>
    <t>Ở màn hình chi tiết LHP.</t>
  </si>
  <si>
    <t>1. Chuyển sang tab 'Đề tài'.</t>
  </si>
  <si>
    <t>Hiển thị danh sách các đề tài đã công bố cho lớp này và tiến độ đăng ký của từng đề tài.</t>
  </si>
  <si>
    <t>TC_LEC_005</t>
  </si>
  <si>
    <t>Tạo đề tài</t>
  </si>
  <si>
    <t>Giảng viên tạo đề tài mới thành công cho đợt đăng ký</t>
  </si>
  <si>
    <t>Có đợt đăng ký đang mở.</t>
  </si>
  <si>
    <t>1. Bấm nút 'Thêm đề tài'.
2. Nhập: Tên đề tài, Mục tiêu, Phạm vi, Công nghệ đề xuất.
3. Chọn Đợt đăng ký.
4. Bấm 'Lưu đề tài'.</t>
  </si>
  <si>
    <t>POST /api/de-tai</t>
  </si>
  <si>
    <t>Tạo thành công, đề tài xuất hiện trong danh sách của GV và hiển thị cho sinh viên đăng ký.</t>
  </si>
  <si>
    <t>TC_LEC_006</t>
  </si>
  <si>
    <t>Validate đề tài</t>
  </si>
  <si>
    <t>Báo lỗi khi tạo đề tài để trống Tên đề tài hoặc Mục tiêu</t>
  </si>
  <si>
    <t>Ở form tạo đề tài.</t>
  </si>
  <si>
    <t>1. Để trống Tên đề tài.
2. Bấm 'Lưu đề tài'.</t>
  </si>
  <si>
    <t>Hiển thị thông báo: 'Tên đề tài không được để trống'. Không gửi request.</t>
  </si>
  <si>
    <t>TC_LEC_007</t>
  </si>
  <si>
    <t>Sửa đề tài</t>
  </si>
  <si>
    <t>Chỉnh sửa nội dung đề tài chưa có nhóm đăng ký</t>
  </si>
  <si>
    <t>Đề tài chưa có nhóm nào đăng ký.</t>
  </si>
  <si>
    <t>1. Chọn đề tài trong danh sách.
2. Bấm icon chỉnh sửa.
3. Sửa mục tiêu và công nghệ.
4. Bấm 'Lưu'.</t>
  </si>
  <si>
    <t>PUT /api/de-tai/{id}</t>
  </si>
  <si>
    <t>Cập nhật thành công thông tin đề tài, sinh viên thấy thông tin mới.</t>
  </si>
  <si>
    <t>TC_LEC_008</t>
  </si>
  <si>
    <t>Cảnh báo khi sửa đề tài đã có nhóm đăng ký được duyệt</t>
  </si>
  <si>
    <t>Đề tài đã có nhóm được duyệt chính thức.</t>
  </si>
  <si>
    <t>1. Thử sửa tên đề tài.</t>
  </si>
  <si>
    <t>Đề tài đã có nhóm</t>
  </si>
  <si>
    <t>Hệ thống hiển thị cảnh báo đề tài đã có nhóm nhận, yêu cầu xác nhận kỹ hoặc khóa sửa tên chính.</t>
  </si>
  <si>
    <t>TC_LEC_009</t>
  </si>
  <si>
    <t>Xóa đề tài</t>
  </si>
  <si>
    <t>Xóa đề tài thành công khi chưa có nhóm đăng ký</t>
  </si>
  <si>
    <t>Đề tài chưa có nhóm đăng ký.</t>
  </si>
  <si>
    <t>1. Tại card đề tài, bấm nút 'Xóa'.
2. Xác nhận 'Đồng ý xóa'.</t>
  </si>
  <si>
    <t>DELETE /api/de-tai/{id}</t>
  </si>
  <si>
    <t>Xóa thành công, đề tài biến mất khỏi danh sách.</t>
  </si>
  <si>
    <t>TC_LEC_010</t>
  </si>
  <si>
    <t>Chặn không cho xóa đề tài đã có nhóm được duyệt</t>
  </si>
  <si>
    <t>Đề tài đã có nhóm được duyệt.</t>
  </si>
  <si>
    <t>1. Thử bấm xóa đề tài.</t>
  </si>
  <si>
    <t>Đề tài có nhóm</t>
  </si>
  <si>
    <t>Báo lỗi: 'Không thể xóa đề tài đã có nhóm sinh viên đăng ký chính thức'.</t>
  </si>
  <si>
    <t>TC_LEC_011</t>
  </si>
  <si>
    <t>Duyệt đề tài</t>
  </si>
  <si>
    <t>Phê duyệt đơn đăng ký đề tài của Nhóm sinh viên</t>
  </si>
  <si>
    <t>Có đơn đăng ký ở trạng thái 'Chờ duyệt'.</t>
  </si>
  <si>
    <t>1. Vào mục 'Duyệt đăng ký đề tài'.
2. Xem thông tin nhóm đăng ký.
3. Bấm nút 'Phê duyệt'.</t>
  </si>
  <si>
    <t>PUT /api/dang-ky-de-tai/{id}/duyet {chap_nhan: true}</t>
  </si>
  <si>
    <t>Trạng thái đơn chuyển thành 'Đã duyệt'. Tự động gửi thông báo chúc mừng tới các thành viên trong nhóm.</t>
  </si>
  <si>
    <t>TC_LEC_012</t>
  </si>
  <si>
    <t>Từ chối đề tài</t>
  </si>
  <si>
    <t>Từ chối đơn đăng ký đề tài kèm lý do phản hồi</t>
  </si>
  <si>
    <t>1. Chọn đơn đăng ký.
2. Bấm nút 'Từ chối'.
3. Nhập lý do: 'Đề tài đã đủ số lượng / Cần chọn đề tài khác'.
4. Xác nhận.</t>
  </si>
  <si>
    <t>PUT /api/dang-ky-de-tai/{id}/duyet {chap_nhan: false, ghiChu: '...'}</t>
  </si>
  <si>
    <t>Đơn chuyển sang 'Từ chối'. Gửi thông báo kèm lý do cho nhóm sinh viên, nhóm được giải phóng để đăng ký lại.</t>
  </si>
  <si>
    <t>TC_LEC_013</t>
  </si>
  <si>
    <t>Duyệt đề xuất</t>
  </si>
  <si>
    <t>Xem danh sách các đề tài do Sinh viên tự đề xuất</t>
  </si>
  <si>
    <t>Có sinh viên gửi đề xuất đề tài.</t>
  </si>
  <si>
    <t>1. Vào mục 'Đề xuất từ sinh viên'.
2. Xem danh sách các đề xuất đang chờ duyệt.</t>
  </si>
  <si>
    <t>GET /api/de-tai?nguonDeTai=SinhVienDeXuat</t>
  </si>
  <si>
    <t>Hiển thị danh sách đề xuất: Tên đề tài, Nhóm đề xuất, Mô tả, Mục tiêu, Công nghệ.</t>
  </si>
  <si>
    <t>TC_LEC_014</t>
  </si>
  <si>
    <t>Phê duyệt đề tài đề xuất của Sinh viên</t>
  </si>
  <si>
    <t>Có đề xuất đang chờ duyệt.</t>
  </si>
  <si>
    <t>1. Chọn đề xuất.
2. Bấm 'Chấp nhận đề xuất'.
3. Xác nhận.</t>
  </si>
  <si>
    <t>PUT /api/de-tai/{id}/duyet {chap_nhan: true}</t>
  </si>
  <si>
    <t>Đề xuất chuyển thành Đề tài chính thức được duyệt của nhóm, cập nhật vào danh sách đề tài của LHP.</t>
  </si>
  <si>
    <t>TC_LEC_015</t>
  </si>
  <si>
    <t>Từ chối đề xuất</t>
  </si>
  <si>
    <t>Từ chối đề xuất của Sinh viên kèm góp ý chỉnh sửa</t>
  </si>
  <si>
    <t>1. Bấm 'Từ chối đề xuất'.
2. Nhập góp ý: 'Phạm vi đề tài quá rộng, cần thu hẹp lại'.
3. Bấm xác nhận.</t>
  </si>
  <si>
    <t>PUT /api/de-tai/{id}/duyet {chap_nhan: false, lyDoTuChoi: '...'}</t>
  </si>
  <si>
    <t>Trạng thái chuyển thành 'Từ chối', sinh viên nhận được thông báo kèm góp ý của GV.</t>
  </si>
  <si>
    <t>TC_LEC_016</t>
  </si>
  <si>
    <t>Chấm báo cáo</t>
  </si>
  <si>
    <t>Xem danh sách các nhóm đã nộp báo cáo tiến độ</t>
  </si>
  <si>
    <t>Có nhóm đã nộp báo cáo tiến độ.</t>
  </si>
  <si>
    <t>1. Vào mục 'Chấm báo cáo tiến độ'.
2. Chọn mốc báo cáo (Tuần 4).
3. Xem danh sách bài nộp.</t>
  </si>
  <si>
    <t>Hiển thị danh sách nhóm đã nộp, thời gian nộp, link tài liệu đính kèm.</t>
  </si>
  <si>
    <t>TC_LEC_017</t>
  </si>
  <si>
    <t>Chấm điểm và nhận xét báo cáo tiến độ của nhóm</t>
  </si>
  <si>
    <t>Tại màn hình chấm bài của một nhóm.</t>
  </si>
  <si>
    <t>1. Xem link báo cáo của nhóm.
2. Đánh giá: Chọn 'Đạt'.
3. Nhập Điểm: '8.5'.
4. Nhập Nhận xét: 'Tiến độ tốt, cần bổ sung testcase'.
5. Bấm 'Lưu đánh giá'.</t>
  </si>
  <si>
    <t>Điểm: 8.5 | Nhận xét chi tiết</t>
  </si>
  <si>
    <t>Lưu kết quả thành công, sinh viên nhận được thông báo điểm và nhận xét của GV.</t>
  </si>
  <si>
    <t>TC_LEC_018</t>
  </si>
  <si>
    <t>Validate điểm</t>
  </si>
  <si>
    <t>Báo lỗi khi nhập điểm không hợp lệ (ngoài khoảng 0 - 10)</t>
  </si>
  <si>
    <t>Ở form chấm điểm báo cáo.</t>
  </si>
  <si>
    <t>1. Nhập điểm: '15.0' hoặc '-2.0'.
2. Bấm 'Lưu đánh giá'.</t>
  </si>
  <si>
    <t>Điểm: 15.0</t>
  </si>
  <si>
    <t>Báo lỗi: 'Điểm số phải nằm trong khoảng từ 0.0 đến 10.0'. Không cho lưu.</t>
  </si>
  <si>
    <t>TC_LEC_019</t>
  </si>
  <si>
    <t>Mở đợt đăng ký</t>
  </si>
  <si>
    <t>Tạo đợt đăng ký đồ án mới cho Lớp học phần</t>
  </si>
  <si>
    <t>LHP chưa có đợt đăng ký đang mở.</t>
  </si>
  <si>
    <t>1. Vào chi tiết LHP &gt; Bấm 'Mở đợt đăng ký'.
2. Nhập Tên đợt: 'Đợt 1 - Học kỳ 1 2026'.
3. Chọn Ngày bắt đầu và Ngày kết thúc.
4. Thiết lập Số thành viên min: 2, max: 4.
5. Bấm 'Kích hoạt đợt'.</t>
  </si>
  <si>
    <t>POST /api/dot-dang-ky</t>
  </si>
  <si>
    <t>Tạo đợt đăng ký thành công, trạng thái 'Đang mở'. Sinh viên có thể bắt đầu đăng ký.</t>
  </si>
  <si>
    <t>TC_LEC_020</t>
  </si>
  <si>
    <t>Validate đợt</t>
  </si>
  <si>
    <t>Báo lỗi khi Ngày kết thúc trước Ngày bắt đầu</t>
  </si>
  <si>
    <t>Ở form tạo đợt đăng ký.</t>
  </si>
  <si>
    <t>1. Chọn Ngày bắt đầu: 20/11/2026.
2. Chọn Ngày kết thúc: 10/11/2026.
3. Bấm Lưu.</t>
  </si>
  <si>
    <t>End Date &lt; Start Date</t>
  </si>
  <si>
    <t>Báo lỗi: 'Ngày kết thúc phải diễn ra sau ngày bắt đầu'.</t>
  </si>
  <si>
    <t>TC_LEC_021</t>
  </si>
  <si>
    <t>Đóng đợt</t>
  </si>
  <si>
    <t>Chuyển trạng thái đợt đăng ký sang 'Đã đóng'</t>
  </si>
  <si>
    <t>Đợt đăng ký đang ở trạng thái 'Đang mở'.</t>
  </si>
  <si>
    <t>1. Vào quản lý đợt đăng ký.
2. Đổi trạng thái sang 'Đã đóng'.
3. Xác nhận.</t>
  </si>
  <si>
    <t>PUT /api/dot-dang-ky/{id}/trang-thai {'trangThai': 'DaDong'}</t>
  </si>
  <si>
    <t>Đợt chuyển sang 'Đã đóng'. Sinh viên không thể đăng ký thêm đề tài mới nữa.</t>
  </si>
  <si>
    <t>TC_LEC_022</t>
  </si>
  <si>
    <t>AI Hỗ trợ GV</t>
  </si>
  <si>
    <t>Giảng viên dùng AI Gemini tạo danh sách đề tài mẫu</t>
  </si>
  <si>
    <t>Tại màn hình Ngân hàng đề tài của GV.</t>
  </si>
  <si>
    <t>1. Bấm 'AI sinh đề tài mẫu'.
2. Chọn chuyên ngành: 'Kỹ thuật phần mềm'.
3. Bấm 'Tạo đề tài'.</t>
  </si>
  <si>
    <t>Gemini AI Topic Generator</t>
  </si>
  <si>
    <t>AI sinh ra danh sách đề tài chuẩn mực, GV có thể bấm 'Chọn dùng đề tài này' để nạp thẳng vào danh sách.</t>
  </si>
  <si>
    <t>TC_LEC_023</t>
  </si>
  <si>
    <t>Thống kê LHP</t>
  </si>
  <si>
    <t>Xem biểu đồ tiến độ đăng ký của các nhóm trong LHP</t>
  </si>
  <si>
    <t>LHP đã có nhiều nhóm đăng ký đề tài.</t>
  </si>
  <si>
    <t>1. Vào mục 'Thống kê LHP'.
2. Quan sát biểu đồ tiến độ.</t>
  </si>
  <si>
    <t>Hiển thị tỷ lệ % nhóm đã có đề tài chính thức, số nhóm đang chờ duyệt, số nhóm chưa đăng ký.</t>
  </si>
  <si>
    <t>TC_LEC_024</t>
  </si>
  <si>
    <t>Thông báo GV</t>
  </si>
  <si>
    <t>Nhận thông báo khi có sinh viên nộp báo cáo hoặc gửi đề xuất</t>
  </si>
  <si>
    <t>Có sinh viên vừa nộp báo cáo.</t>
  </si>
  <si>
    <t>1. Vào mục Thông báo của GV.
2. Quan sát thông báo mới.</t>
  </si>
  <si>
    <t>Hiện thông báo: 'Nhóm [Tên nhóm] vừa nộp báo cáo tiến độ Tuần 4'.</t>
  </si>
  <si>
    <t>TC_LEC_025</t>
  </si>
  <si>
    <t>Hồ sơ Giảng viên</t>
  </si>
  <si>
    <t>Xem và cập nhật Chuyên môn, Học vị của Giảng viên</t>
  </si>
  <si>
    <t>1. Vào trang Cá nhân.
2. Xem thông tin: Mã GV, Học vị, Chuyên môn.
3. Cập nhật Số điện thoại liên hệ.</t>
  </si>
  <si>
    <t>Cập nhật thành công, số liệu đồng bộ chính xác.</t>
  </si>
  <si>
    <t>📋 KỊCH BẢN KIỂM THỬ PHÂN HỆ GIÁO VỤ KHOA &amp; PHÒNG ĐÀO TẠO</t>
  </si>
  <si>
    <t>TC_GOV_001</t>
  </si>
  <si>
    <t>Tổng quan Khoa</t>
  </si>
  <si>
    <t>Xem số liệu thống kê đào tạo tổng thể toàn khoa</t>
  </si>
  <si>
    <t>Đăng nhập gvk.demo.</t>
  </si>
  <si>
    <t>1. Vào Dashboard Giáo vụ khoa.
2. Quan sát các Stat Card 4 màu.</t>
  </si>
  <si>
    <t>GET /api/admin/overview</t>
  </si>
  <si>
    <t>Hiển thị chính xác: Tổng số LHP khoa, Tổng số SV khoa, Tổng số GV khoa, Tổng số nhóm đồ án.</t>
  </si>
  <si>
    <t>TC_GOV_002</t>
  </si>
  <si>
    <t>Quản lý LHP</t>
  </si>
  <si>
    <t>Xem danh mục toàn bộ các Lớp học phần của khoa</t>
  </si>
  <si>
    <t>Đang ở quyền Giáo vụ khoa.</t>
  </si>
  <si>
    <t>1. Vào tab 'Quản lý LHP'.
2. Xem danh sách các LHP.</t>
  </si>
  <si>
    <t>GET /api/lop-hoc-phan</t>
  </si>
  <si>
    <t>Hiển thị danh sách card LHP: Mã lớp, Tên môn học, Học kỳ, Giảng viên phụ trách, Tình trạng phân công.</t>
  </si>
  <si>
    <t>TC_GOV_003</t>
  </si>
  <si>
    <t>Tìm kiếm LHP</t>
  </si>
  <si>
    <t>Tìm kiếm LHP theo Mã hoặc Tên môn trong khoa</t>
  </si>
  <si>
    <t>Tại màn hình LHP của Giáo vụ.</t>
  </si>
  <si>
    <t>1. Nhập 'Lập trình' vào ô tìm kiếm.</t>
  </si>
  <si>
    <t>Search: 'Lập trình'</t>
  </si>
  <si>
    <t>Lọc chính xác các môn có chứa từ khóa 'Lập trình'.</t>
  </si>
  <si>
    <t>TC_GOV_004</t>
  </si>
  <si>
    <t>Phân công GV</t>
  </si>
  <si>
    <t>Phân công Giảng viên phụ trách Lớp học phần thành công</t>
  </si>
  <si>
    <t>Có LHP chưa có giảng viên phụ trách.</t>
  </si>
  <si>
    <t>1. Vào mục 'Phân công giảng viên'.
2. Chọn LHP: 'Phát triển ứng dụng di động'.
3. Chọn Giảng viên: 'ThS. Nguyễn Văn A'.
4. Bấm 'Xác nhận phân công'.</t>
  </si>
  <si>
    <t>POST /api/governance/assignments</t>
  </si>
  <si>
    <t>Phân công thành công, giảng viên được gán vào LHP và có quyền quản lý đợt đồ án của lớp.</t>
  </si>
  <si>
    <t>TC_GOV_005</t>
  </si>
  <si>
    <t>Hủy phân công</t>
  </si>
  <si>
    <t>Hủy phân công hoặc đổi Giảng viên phụ trách LHP</t>
  </si>
  <si>
    <t>LHP đã có GV được phân công.</t>
  </si>
  <si>
    <t>1. Chọn LHP cần đổi GV.
2. Chọn 'Đổi giảng viên phụ trách'.
3. Chọn GV mới và xác nhận.</t>
  </si>
  <si>
    <t>PUT /api/governance/assignments</t>
  </si>
  <si>
    <t>Cập nhật thành công giảng viên mới phụ trách lớp.</t>
  </si>
  <si>
    <t>TC_GOV_006</t>
  </si>
  <si>
    <t>Danh sách SV</t>
  </si>
  <si>
    <t>Tra cứu danh sách toàn bộ Sinh viên trong khoa</t>
  </si>
  <si>
    <t>Ở quyền Giáo vụ.</t>
  </si>
  <si>
    <t>1. Vào mục 'Danh sách Sinh viên'.
2. Xem danh sách và thử tìm kiếm theo MSSV.</t>
  </si>
  <si>
    <t>GET /api/governance/students</t>
  </si>
  <si>
    <t>Hiển thị danh sách SV: MSSV, Họ tên, Lớp niên chế, Email, Số điện thoại.</t>
  </si>
  <si>
    <t>TC_GOV_007</t>
  </si>
  <si>
    <t>Danh sách GV</t>
  </si>
  <si>
    <t>Tra cứu danh sách Giảng viên trong khoa</t>
  </si>
  <si>
    <t>1. Vào mục 'Danh sách Giảng viên'.
2. Xem thông tin giảng viên.</t>
  </si>
  <si>
    <t>GET /api/governance/lecturers</t>
  </si>
  <si>
    <t>Hiển thị danh sách GV: Mã GV, Họ tên, Học vị, Chuyên môn, Số LHP đang phụ trách.</t>
  </si>
  <si>
    <t>TC_GOV_008</t>
  </si>
  <si>
    <t>AI Phân tích</t>
  </si>
  <si>
    <t>Giáo vụ khoa dùng AI Gemini phân tích khối lượng học vụ</t>
  </si>
  <si>
    <t>Tại Dashboard Giáo vụ; có kết nối mạng.</t>
  </si>
  <si>
    <t>1. Xem thẻ 'AI Phân tích khối lượng học vụ'.
2. Bấm 'Phân tích ngay'.</t>
  </si>
  <si>
    <t>Gemini analyzeAcademicWorkload</t>
  </si>
  <si>
    <t>AI phân tích tỷ lệ SV/GV, cảnh báo LHP bị quá tải và đề xuất cân đối số lượng nhóm đồ án.</t>
  </si>
  <si>
    <t>TC_GOV_009</t>
  </si>
  <si>
    <t>Xử lý khi AI Gemini phân tích bị gián đoạn mạng</t>
  </si>
  <si>
    <t>Tắt mạng hoặc lỗi API Key.</t>
  </si>
  <si>
    <t>1. Bấm phân tích AI.</t>
  </si>
  <si>
    <t>Offline</t>
  </si>
  <si>
    <t>Thẻ AI hiển thị lỗi màu đỏ thân thiện: 'Không thể kết nối Gemini AI' kèm nút 'Thử lại'.</t>
  </si>
  <si>
    <t>TC_GOV_010</t>
  </si>
  <si>
    <t>Phòng Đào tạo</t>
  </si>
  <si>
    <t>Giám sát số liệu đồ án toàn trường</t>
  </si>
  <si>
    <t>Đăng nhập tài khoản pdt.demo.</t>
  </si>
  <si>
    <t>1. Vào Dashboard Phòng đào tạo.
2. Quan sát số liệu đa khoa.</t>
  </si>
  <si>
    <t>Hiển thị tổng thể toàn trường: tổng số LHP, tổng số sinh viên, tổng số đề tài được duyệt.</t>
  </si>
  <si>
    <t>TC_GOV_011</t>
  </si>
  <si>
    <t>AI Dự báo</t>
  </si>
  <si>
    <t>Phòng đào tạo dùng AI dự báo xu hướng công nghệ đề tài</t>
  </si>
  <si>
    <t>Tại Dashboard Phòng đào tạo.</t>
  </si>
  <si>
    <t>1. Xem thẻ 'AI Dự báo đào tạo'.
2. Đọc các khuyến nghị phân bổ.</t>
  </si>
  <si>
    <t>Gemini analyzeTrainingForecast</t>
  </si>
  <si>
    <t>AI phân tích xu hướng công nghệ (Mobile, AI, Cloud...) và đưa ra khuyến nghị phân bổ phòng lab/nhân lực.</t>
  </si>
  <si>
    <t>TC_GOV_012</t>
  </si>
  <si>
    <t>Cấu hình học kỳ</t>
  </si>
  <si>
    <t>Xem danh mục các học kỳ và năm học trong hệ thống</t>
  </si>
  <si>
    <t>Tại phân hệ Phòng đào tạo.</t>
  </si>
  <si>
    <t>1. Vào mục 'Cấu hình học kỳ'.
2. Xem danh sách các học kỳ.</t>
  </si>
  <si>
    <t>GET /api/semesters</t>
  </si>
  <si>
    <t>Hiển thị danh sách học kỳ (HK1 2026-2027, HK2 2026-2027) kèm thời gian hiệu lực.</t>
  </si>
  <si>
    <t>📋 KỊCH BẢN KIỂM THỬ PHÂN HỆ QUẢN TRỊ VIÊN (ADMIN MODULE)</t>
  </si>
  <si>
    <t>TC_ADM_001</t>
  </si>
  <si>
    <t>Dashboard Admin</t>
  </si>
  <si>
    <t>Hiển thị số liệu tổng quan người dùng toàn hệ thống</t>
  </si>
  <si>
    <t>Đăng nhập admin.demo.</t>
  </si>
  <si>
    <t>1. Vào Dashboard Quản trị viên.
2. Quan sát các Stat Card.</t>
  </si>
  <si>
    <t>Hiển thị đúng tổng số: Người dùng, Sinh viên, Giảng viên, Lớp học phần trong CSDL.</t>
  </si>
  <si>
    <t>TC_ADM_002</t>
  </si>
  <si>
    <t>Biểu đồ vai trò</t>
  </si>
  <si>
    <t>Hiển thị Biểu đồ thanh ngang phân bổ vai trò (Role Distribution)</t>
  </si>
  <si>
    <t>Ở Dashboard Admin.</t>
  </si>
  <si>
    <t>1. Quan sát thẻ 'Phân bổ vai trò người dùng'.
2. Kiểm tra các thanh ngang.</t>
  </si>
  <si>
    <t>Role distribution</t>
  </si>
  <si>
    <t>Hiển thị 5 thanh ngang 5 màu tương ứng: Sinh viên (Xanh lá), Giảng viên (Xanh dương), Giáo vụ (Tím), Đào tạo (Cam), Admin (Hồng). Tổng % = 100%.</t>
  </si>
  <si>
    <t>TC_ADM_003</t>
  </si>
  <si>
    <t>Danh sách User</t>
  </si>
  <si>
    <t>Xem danh sách toàn bộ người dùng trong hệ thống</t>
  </si>
  <si>
    <t>Tại tab 'Người dùng' của Admin.</t>
  </si>
  <si>
    <t>1. Xem danh sách người dùng.
2. Quan sát thông tin từng dòng.</t>
  </si>
  <si>
    <t>GET /api/admin/users</t>
  </si>
  <si>
    <t>Hiển thị: Avatar, Họ tên, Tên đăng nhập, Email, Số ĐT, Vai trò (Badge màu), Trạng thái Hoạt động/Đã khóa.</t>
  </si>
  <si>
    <t>TC_ADM_004</t>
  </si>
  <si>
    <t>Tìm kiếm User</t>
  </si>
  <si>
    <t>Tìm kiếm người dùng theo Họ tên hoặc Tên đăng nhập</t>
  </si>
  <si>
    <t>Tại màn hình Quản lý người dùng.</t>
  </si>
  <si>
    <t>1. Nhập từ khóa 'Nguyễn' vào ô tìm kiếm.
2. Nhập username 'sv001'.</t>
  </si>
  <si>
    <t>Search: 'Nguyễn'</t>
  </si>
  <si>
    <t>Lọc chính xác người dùng có tên hoặc username khớp từ khóa tìm kiếm.</t>
  </si>
  <si>
    <t>TC_ADM_005</t>
  </si>
  <si>
    <t>Lọc vai trò</t>
  </si>
  <si>
    <t>Lọc danh sách người dùng theo Vai trò (Role Filter)</t>
  </si>
  <si>
    <t>Tại danh sách người dùng.</t>
  </si>
  <si>
    <t>1. Bấm chip lọc: 'Sinh viên'.
2. Bấm chip lọc: 'Giảng viên'.
3. Bấm chip lọc: 'Admin'.</t>
  </si>
  <si>
    <t>role = SINHVIEN / GIANGVIEN / ADMIN</t>
  </si>
  <si>
    <t>Danh sách lập tức lọc đúng chỉ những tài khoản có vai trò tương ứng.</t>
  </si>
  <si>
    <t>TC_ADM_006</t>
  </si>
  <si>
    <t>Thêm User</t>
  </si>
  <si>
    <t>Tạo tài khoản người dùng mới thủ công thành công</t>
  </si>
  <si>
    <t>Bấm FAB 'Thêm người dùng'.</t>
  </si>
  <si>
    <t>1. Nhập: Tên đăng nhập 'sv_moi_01', Mật khẩu '123456', Họ tên 'Nguyễn Văn Mới', Email 'svmoi@school.edu', Số ĐT '0912345678', Vai trò 'Sinh viên'.
2. Bấm 'Lưu người dùng'.</t>
  </si>
  <si>
    <t>POST /api/admin/users</t>
  </si>
  <si>
    <t>Tạo tài khoản thành công, xuất hiện ngay trong danh sách, có thể dùng tài khoản này đăng nhập được ngay.</t>
  </si>
  <si>
    <t>TC_ADM_007</t>
  </si>
  <si>
    <t>Validate User</t>
  </si>
  <si>
    <t>Báo lỗi khi tạo tài khoản có Tên đăng nhập đã tồn tại</t>
  </si>
  <si>
    <t>Tài khoản 'sv001' đã tồn tại trong DB.</t>
  </si>
  <si>
    <t>1. Nhập username là 'sv001'.
2. Nhập các thông tin khác hợp lệ.
3. Bấm 'Lưu'.</t>
  </si>
  <si>
    <t>Username: 'sv001'</t>
  </si>
  <si>
    <t>Báo lỗi: 'Tên đăng nhập đã tồn tại trong hệ thống'. Không cho phép tạo trùng lặp.</t>
  </si>
  <si>
    <t>TC_ADM_008</t>
  </si>
  <si>
    <t>Validate định dạng Email khi tạo tài khoản</t>
  </si>
  <si>
    <t>Ở form tạo người dùng.</t>
  </si>
  <si>
    <t>1. Nhập email sai: 'email_khong_hop_le'.
2. Bấm Lưu.</t>
  </si>
  <si>
    <t>email_khong_hop_le</t>
  </si>
  <si>
    <t>Báo lỗi: 'Email không đúng định dạng'.</t>
  </si>
  <si>
    <t>TC_ADM_009</t>
  </si>
  <si>
    <t>Khóa tài khoản</t>
  </si>
  <si>
    <t>Khóa tài khoản người dùng (Toggle Status sang False)</t>
  </si>
  <si>
    <t>Tài khoản đang ở trạng thái Hoạt động.</t>
  </si>
  <si>
    <t>1. Tìm tài khoản trong danh sách.
2. Bấm nút chuyển đổi trạng thái sang 'Khóa'.
3. Xác nhận trên dialog.</t>
  </si>
  <si>
    <t>PUT /api/admin/users/{id}/toggle-status</t>
  </si>
  <si>
    <t>Trạng thái đổi thành 'Đã khóa' (màu đỏ). Thử lấy tài khoản này đăng nhập sẽ bị hệ thống từ chối.</t>
  </si>
  <si>
    <t>TC_ADM_010</t>
  </si>
  <si>
    <t>Mở khóa User</t>
  </si>
  <si>
    <t>Mở khóa tài khoản người dùng (Toggle Status sang True)</t>
  </si>
  <si>
    <t>Tài khoản đang bị khóa.</t>
  </si>
  <si>
    <t>1. Bấm nút kích hoạt lại sang 'Hoạt động'.</t>
  </si>
  <si>
    <t>Toggle status sang True</t>
  </si>
  <si>
    <t>Trạng thái chuyển thành 'Hoạt động' (màu xanh). Người dùng có thể đăng nhập bình thường.</t>
  </si>
  <si>
    <t>TC_ADM_011</t>
  </si>
  <si>
    <t>Reset mật khẩu</t>
  </si>
  <si>
    <t>Admin đặt lại mật khẩu mặc định cho người dùng</t>
  </si>
  <si>
    <t>Người dùng quên mật khẩu nhờ Admin cấp lại.</t>
  </si>
  <si>
    <t>1. Chọn người dùng cần reset.
2. Bấm 'Đặt lại mật khẩu mặc định'.
3. Xác nhận.</t>
  </si>
  <si>
    <t>POST /api/admin/users/{id}/reset-password</t>
  </si>
  <si>
    <t>Mật khẩu của tài khoản được đặt lại về '123456', người dùng có thể đăng nhập lại.</t>
  </si>
  <si>
    <t>TC_ADM_012</t>
  </si>
  <si>
    <t>Import User</t>
  </si>
  <si>
    <t>Tải file mẫu template CSV chuẩn</t>
  </si>
  <si>
    <t>Vào màn hình 'Import người dùng'.</t>
  </si>
  <si>
    <t>1. Chọn định dạng: 'CSV'.
2. Bấm nút 'Tải file mẫu'.</t>
  </si>
  <si>
    <t>Template CSV</t>
  </si>
  <si>
    <t>Tải thành công file mẫu về máy với đúng header: TênĐăngNhập,MậtKhẩu,HọTên,Email,SốĐiệnThoại,VaiTrò,TrạngThái kèm 1 dòng mẫu.</t>
  </si>
  <si>
    <t>TC_ADM_013</t>
  </si>
  <si>
    <t>Tải file mẫu template Excel (.xlsx) chuẩn</t>
  </si>
  <si>
    <t>Ở màn hình Import.</t>
  </si>
  <si>
    <t>1. Chọn định dạng: 'Excel (.xlsx)'.
2. Bấm 'Tải file mẫu'.</t>
  </si>
  <si>
    <t>Template Excel</t>
  </si>
  <si>
    <t>Tải về file Excel mẫu có định dạng bảng và các cột chuẩn.</t>
  </si>
  <si>
    <t>TC_ADM_014</t>
  </si>
  <si>
    <t>Chọn file và hiển thị bảng Xem trước dữ liệu (Preview Table)</t>
  </si>
  <si>
    <t>Đã chuẩn bị file CSV/Excel hợp lệ chứa 10 người dùng.</t>
  </si>
  <si>
    <t>1. Bấm 'Chọn file từ thiết bị'.
2. Chọn file danh sách.
3. Quan sát bảng Preview.</t>
  </si>
  <si>
    <t>File 10 users</t>
  </si>
  <si>
    <t>Hệ thống parse file thành công, hiển thị bảng Preview 5 dòng đầu tiên với thông tin chuẩn hóa.</t>
  </si>
  <si>
    <t>TC_ADM_015</t>
  </si>
  <si>
    <t>Tiến hành Import hàng loạt người dùng vào CSDL thành công</t>
  </si>
  <si>
    <t>Đã xem trước dữ liệu thành công.</t>
  </si>
  <si>
    <t>1. Bấm nút 'Bắt đầu Import'.
2. Theo dõi thanh tiến trình.</t>
  </si>
  <si>
    <t>10 tài khoản mới</t>
  </si>
  <si>
    <t>Tạo thành công toàn bộ 10 tài khoản. Báo cáo: 'Thành công: 10, Thất bại: 0'. Dữ liệu nạp đầy đủ vào SQL Server.</t>
  </si>
  <si>
    <t>TC_ADM_016</t>
  </si>
  <si>
    <t>Báo cáo lỗi khi file import chứa một số tài khoản bị trùng lặp</t>
  </si>
  <si>
    <t>File chứa 5 tài khoản mới và 2 tài khoản đã tồn tại (sv001, gv001).</t>
  </si>
  <si>
    <t>1. Chọn file và bấm 'Bắt đầu Import'.</t>
  </si>
  <si>
    <t>File có 2 tài khoản trùng</t>
  </si>
  <si>
    <t>Import thành công 5 tài khoản mới, 2 tài khoản trùng báo thất bại. Tổng kết: 'Thành công: 5, Thất bại: 2'.</t>
  </si>
  <si>
    <t>TC_ADM_017</t>
  </si>
  <si>
    <t>Báo lỗi khi nạp file sai cấu trúc cột quy định</t>
  </si>
  <si>
    <t>File văn bản bất kỳ không đúng chuẩn cột.</t>
  </si>
  <si>
    <t>1. Chọn file văn bản sai header.
2. Bấm nạp file.</t>
  </si>
  <si>
    <t>File sai cấu trúc</t>
  </si>
  <si>
    <t>Báo lỗi: 'Cấu trúc file không đúng định dạng. Vui lòng tải file mẫu để kiểm tra'. Không crash app.</t>
  </si>
  <si>
    <t>TC_ADM_018</t>
  </si>
  <si>
    <t>Nhật ký hệ thống</t>
  </si>
  <si>
    <t>Xem nhật ký hoạt động hệ thống (Activity Log)</t>
  </si>
  <si>
    <t>Hệ thống có phát sinh hoạt động (đăng nhập, duyệt đề tài...).</t>
  </si>
  <si>
    <t>1. Vào mục 'Nhật ký hoạt động'.
2. Xem các dòng log sự kiện.</t>
  </si>
  <si>
    <t>GET /api/admin/activity-logs</t>
  </si>
  <si>
    <t>Hiển thị chi tiết: Thời gian, Người thực hiện, Hành động, Địa chỉ IP thực hiện.</t>
  </si>
  <si>
    <t>📋 KỊCH BẢN KIỂM THỬ PHI CHỨC NĂNG, BẢO MẬT &amp; HIỆU NĂNG HỆ THỐNG</t>
  </si>
  <si>
    <t>TC_NFR_001</t>
  </si>
  <si>
    <t>Bảo mật API</t>
  </si>
  <si>
    <t>Chặn gọi API nghiệp vụ khi không có JWT Bearer Token</t>
  </si>
  <si>
    <t>Gọi trực tiếp endpoint Backend không kèm token.</t>
  </si>
  <si>
    <t>1. Dùng Postman hoặc curl gọi: GET http://localhost:5094/api/student/courses.
2. Quan sát phản hồi.</t>
  </si>
  <si>
    <t>No Authorization Header</t>
  </si>
  <si>
    <t>Máy chủ trả về HTTP 401 Unauthorized. Không để lộ bất kỳ thông tin nào.</t>
  </si>
  <si>
    <t>TC_NFR_002</t>
  </si>
  <si>
    <t>Bảo mật Token</t>
  </si>
  <si>
    <t>Chặn gọi API khi JWT Token đã hết hạn (Expired Token)</t>
  </si>
  <si>
    <t>Sử dụng token cũ đã quá thời hạn hiệu lực.</t>
  </si>
  <si>
    <t>1. Gửi request kèm token cũ.
2. Quan sát phản hồi.</t>
  </si>
  <si>
    <t>Expired JWT Token</t>
  </si>
  <si>
    <t>Backend từ chối với HTTP 401. Ứng dụng tự động điều hướng người dùng về màn hình Đăng nhập.</t>
  </si>
  <si>
    <t>TC_NFR_003</t>
  </si>
  <si>
    <t>Phân quyền RBAC</t>
  </si>
  <si>
    <t>Sinh viên không được gọi API của Giảng viên (HTTP 403 Forbidden)</t>
  </si>
  <si>
    <t>Lấy Token đăng nhập của Sinh viên (sv001).</t>
  </si>
  <si>
    <t>1. Dùng Token Sinh viên gửi request POST /api/de-tai (Tạo đề tài của GV).
2. Quan sát phản hồi.</t>
  </si>
  <si>
    <t>Student Token calling Lecturer API</t>
  </si>
  <si>
    <t>Máy chủ từ chối với HTTP 403 Forbidden. Đảm bảo phân quyền vai trò bảo mật tuyệt đối.</t>
  </si>
  <si>
    <t>TC_NFR_004</t>
  </si>
  <si>
    <t>Giảng viên không được gọi API Quản trị viên (Admin)</t>
  </si>
  <si>
    <t>Lấy Token của Giảng viên (gv001).</t>
  </si>
  <si>
    <t>1. Gửi request POST /api/admin/users.
2. Quan sát phản hồi.</t>
  </si>
  <si>
    <t>Lecturer Token calling Admin API</t>
  </si>
  <si>
    <t>Máy chủ từ chối với HTTP 403 Forbidden.</t>
  </si>
  <si>
    <t>TC_NFR_005</t>
  </si>
  <si>
    <t>Xử lý mất mạng</t>
  </si>
  <si>
    <t>Ứng dụng xử lý an toàn khi mất kết nối mạng đột ngột</t>
  </si>
  <si>
    <t>Bật chế độ máy bay (Airplane mode) trên điện thoại.</t>
  </si>
  <si>
    <t>1. Thao tác chuyển qua lại giữa các tab LHP, Đề tài, Nhóm.
2. Quan sát giao diện.</t>
  </si>
  <si>
    <t>No Internet Connection</t>
  </si>
  <si>
    <t>Không bị crash/văng app. Hiển thị thông báo lỗi thân thiện 'Không thể kết nối máy chủ' kèm nút 'Thử lại'.</t>
  </si>
  <si>
    <t>TC_NFR_006</t>
  </si>
  <si>
    <t>Hiệu năng USB</t>
  </si>
  <si>
    <t>Đo độ trễ phản hồi API qua cầu nối cáp USB (ADB Reverse)</t>
  </si>
  <si>
    <t>Điện thoại cắm cáp USB, đã reverse port 5094.</t>
  </si>
  <si>
    <t>1. Chuyển đổi các tab và đo thời gian tải dữ liệu.</t>
  </si>
  <si>
    <t>Cáp USB Type-C</t>
  </si>
  <si>
    <t>Thời gian phản hồi trung bình &lt; 200ms, trải nghiệm tức thì, không có cảm giác trễ.</t>
  </si>
  <si>
    <t>TC_NFR_007</t>
  </si>
  <si>
    <t>Hiệu năng Wi-Fi</t>
  </si>
  <si>
    <t>Đo độ trễ phản hồi API qua mạng Wi-Fi LAN</t>
  </si>
  <si>
    <t>Điện thoại và máy tính kết nối cùng Wi-Fi.</t>
  </si>
  <si>
    <t>1. Tải danh sách đề tài và nhóm.</t>
  </si>
  <si>
    <t>Wi-Fi LAN 192.168.x.x</t>
  </si>
  <si>
    <t>Thời gian phản hồi &lt; 500ms, dữ liệu tải mượt mà.</t>
  </si>
  <si>
    <t>TC_NFR_008</t>
  </si>
  <si>
    <t>Responsive UI</t>
  </si>
  <si>
    <t>Giao diện hiển thị tốt trên các kích thước màn hình khác nhau</t>
  </si>
  <si>
    <t>Test trên điện thoại nhỏ (5 inch), điện thoại lớn (6.7 inch) và máy ảo.</t>
  </si>
  <si>
    <t>1. Mở tất cả các màn hình chính.
2. Kiểm tra có bị lỗi tràn chữ / tràn khung (RenderFlex overflow) không.</t>
  </si>
  <si>
    <t>Đa kích cỡ màn hình</t>
  </si>
  <si>
    <t>Giao diện co giãn chuẩn nhờ SingleChildScrollView và LayoutBuilder, 0 lỗi overflow.</t>
  </si>
  <si>
    <t>TC_NFR_009</t>
  </si>
  <si>
    <t>Xoay màn hình</t>
  </si>
  <si>
    <t>Kiểm tra giao diện khi xoay ngang điện thoại (Landscape)</t>
  </si>
  <si>
    <t>Bật tính năng tự động xoay màn hình.</t>
  </si>
  <si>
    <t>1. Xoay ngang điện thoại tại màn hình Đăng nhập và Báo cáo tiến độ.</t>
  </si>
  <si>
    <t>Orientation.landscape</t>
  </si>
  <si>
    <t>Nội dung cuộn trơn tru, bàn phím ảo không che khuất nút bấm quan trọng.</t>
  </si>
  <si>
    <t>TC_NFR_010</t>
  </si>
  <si>
    <t>Sao lưu CSDL</t>
  </si>
  <si>
    <t>Hệ thống tự động sao lưu CSDL SQL Server trước khi vận hành</t>
  </si>
  <si>
    <t>Chạy start_full_system.bat.</t>
  </si>
  <si>
    <t>1. Khởi động hệ thống qua start_full_system.bat.
2. Kiểm tra thư mục 'backups/'.</t>
  </si>
  <si>
    <t>backup_database.ps1</t>
  </si>
  <si>
    <t>Tự động sinh ra 1 file .bak mới có gắn timestamp ngày giờ trong thư mục backups, đảm bảo an toàn dữ liệu.</t>
  </si>
  <si>
    <t>TC_NFR_011</t>
  </si>
  <si>
    <t>Khôi phục CSDL</t>
  </si>
  <si>
    <t>Khôi phục dữ liệu từ bản sao lưu .bak khi gặp sự cố</t>
  </si>
  <si>
    <t>Có file .bak trong thư mục backups.</t>
  </si>
  <si>
    <t>1. Mở SSMS, chọn Restore Database từ file .bak mới nhất.</t>
  </si>
  <si>
    <t>Restore file .bak</t>
  </si>
  <si>
    <t>Khôi phục toàn bộ bảng và dữ liệu về trạng thái hoàn hảo 100%.</t>
  </si>
  <si>
    <t>TC_NFR_012</t>
  </si>
  <si>
    <t>Bảo mật Avatar</t>
  </si>
  <si>
    <t>Chặn tải lên file độc hại giả dạng file ảnh (File Upload Security)</t>
  </si>
  <si>
    <t>Tại tính năng đổi Avatar.</t>
  </si>
  <si>
    <t>1. Thử đổi đuôi file mã độc .exe / .sh thành .jpg và tải lên.</t>
  </si>
  <si>
    <t>malicious_file.exe.jpg</t>
  </si>
  <si>
    <t>Backend kiểm tra định dạng và MIME type thực tế, từ chối tải lên file không hợp lệ.</t>
  </si>
  <si>
    <t>🎓 HỆ THỐNG PROGROUP AI - TÀI LIỆU KỊCH BẢN KIỂM THỬ TOÀN DIỆN (FULL TEST SUITE)</t>
  </si>
  <si>
    <t>Dự án: Phát triển Ứng dụng Di động Quản lý &amp; Đăng ký Đồ án Tích hợp Trí tuệ Nhân tạo | Phiên bản: 1.0.0</t>
  </si>
  <si>
    <t>📌 THÔNG TIN DỰ ÁN &amp; MÔI TRƯỜNG KIỂM THỬ</t>
  </si>
  <si>
    <t>Tên dự án:</t>
  </si>
  <si>
    <t>ProGroup AI (Hệ thống Đăng ký &amp; Quản lý Đồ án Tích hợp AI)</t>
  </si>
  <si>
    <t>Nền tảng kiểm thử Client:</t>
  </si>
  <si>
    <t>Android Mobile (Thiết bị thật qua cáp USB / Android Emulator)</t>
  </si>
  <si>
    <t>Kiến trúc Backend &amp; API:</t>
  </si>
  <si>
    <t>ASP.NET Core Web API 10.0 (Port 5094) + Entity Framework Core</t>
  </si>
  <si>
    <t>Cơ sở dữ liệu:</t>
  </si>
  <si>
    <t>Microsoft SQL Server 2019+ (Database: ProjectRegistrationDB)</t>
  </si>
  <si>
    <t>Tích hợp AI:</t>
  </si>
  <si>
    <t>Google Gemini AI (Gợi ý đề tài, Phân tích học vụ khoa)</t>
  </si>
  <si>
    <t>Người thực hiện kiểm thử:</t>
  </si>
  <si>
    <t>[Họ và tên Tester ghi tại đây]</t>
  </si>
  <si>
    <t>Ngày bắt đầu kiểm thử:</t>
  </si>
  <si>
    <t>[DD/MM/YYYY]</t>
  </si>
  <si>
    <t>Trạng thái dự án:</t>
  </si>
  <si>
    <t>Sẵn sàng bàn giao &amp; Nghiệm thu đồ án</t>
  </si>
  <si>
    <t>📊 BẢNG THEO DÕI TIẾN ĐỘ &amp; KẾT QUẢ KIỂM THỬ THEO PHÂN HỆ</t>
  </si>
  <si>
    <t>STT</t>
  </si>
  <si>
    <t>Phân hệ / Sheet Kiểm thử</t>
  </si>
  <si>
    <t>Tổng số TC</t>
  </si>
  <si>
    <t>Đạt (Pass)</t>
  </si>
  <si>
    <t>Lỗi (Fail)</t>
  </si>
  <si>
    <t>Chặn (Blocked)</t>
  </si>
  <si>
    <t>Chưa test</t>
  </si>
  <si>
    <t>Tỷ lệ Đạt (%)</t>
  </si>
  <si>
    <t>1</t>
  </si>
  <si>
    <t>2. Xác thực &amp; Hệ thống</t>
  </si>
  <si>
    <t>2</t>
  </si>
  <si>
    <t>3. Phân hệ Sinh viên</t>
  </si>
  <si>
    <t>3</t>
  </si>
  <si>
    <t>4. Phân hệ Giảng viên</t>
  </si>
  <si>
    <t>4</t>
  </si>
  <si>
    <t>5. Giáo vụ &amp; Đào tạo</t>
  </si>
  <si>
    <t>5</t>
  </si>
  <si>
    <t>6. Quản trị hệ thống</t>
  </si>
  <si>
    <t>6</t>
  </si>
  <si>
    <t>7. Phi chức năng &amp; Bảo mật</t>
  </si>
  <si>
    <t>TỔNG CỘNG TOÀN HỆ THỐNG</t>
  </si>
  <si>
    <t>📖 HƯỚNG DẪN DÀNH CHO TESTER KHI THỰC HIỆN KIỂM THỬ</t>
  </si>
  <si>
    <t>Quy ước Trạng thái (Status):</t>
  </si>
  <si>
    <t>• Pass: Tính năng chạy đúng 100% kết quả mong đợi. | • Fail: Có lỗi/sai logic/crash. | • Blocked: Bị nghẽn do lỗi module khác. | • Untested: Chưa kiểm tra.</t>
  </si>
  <si>
    <t>Quy ước Mức độ nghiêm trọng (Severity):</t>
  </si>
  <si>
    <t>• Critical: Crash app, không đăng nhập được, mất dữ liệu. | • High: Sai luồng nghiệp vụ chính, duyệt/đăng ký thất bại. | • Medium: Lỗi giao diện, sai text, filter không đúng. | • Low: Lỗi thẩm mỹ nhỏ, chính tả.</t>
  </si>
  <si>
    <t>Tài khoản kiểm thử mặc định:</t>
  </si>
  <si>
    <t>Sinh viên: sv001 (123456) | Giảng viên: gv001 (123456) | Giáo vụ: gvk.demo (123456) | Đào tạo: pdt.demo (123456) | Admin: admin.demo (123456)</t>
  </si>
  <si>
    <t>Lưu ý kết nối máy chủ:</t>
  </si>
  <si>
    <t>Khi test trên điện thoại thật cắm cáp USB, đảm bảo đã chạy 'adb reverse tcp:5094 tcp:5094' và Backend API đang lắng nghe tại cổng 5094.</t>
  </si>
</sst>
</file>

<file path=xl/styles.xml><?xml version="1.0" encoding="utf-8"?>
<styleSheet xmlns="http://schemas.openxmlformats.org/spreadsheetml/2006/main">
  <numFmts count="1">
    <numFmt numFmtId="164" formatCode="0.0%"/>
  </numFmts>
  <fonts count="14"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b/>
      <sz val="10"/>
      <color rgb="FFFFFFFF"/>
      <name val="Segoe UI"/>
      <family val="2"/>
    </font>
    <font>
      <sz val="9.5"/>
      <color theme="1"/>
      <name val="Segoe UI"/>
      <family val="2"/>
    </font>
    <font>
      <b/>
      <sz val="9"/>
      <color rgb="FF991B1B"/>
      <name val="Segoe UI"/>
      <family val="2"/>
    </font>
    <font>
      <b/>
      <sz val="9"/>
      <color rgb="FFC2410C"/>
      <name val="Segoe UI"/>
      <family val="2"/>
    </font>
    <font>
      <b/>
      <sz val="9"/>
      <color rgb="FF1D4ED8"/>
      <name val="Segoe UI"/>
      <family val="2"/>
    </font>
    <font>
      <sz val="9"/>
      <color rgb="FF475569"/>
      <name val="Segoe UI"/>
      <family val="2"/>
    </font>
    <font>
      <i/>
      <sz val="10"/>
      <color rgb="FFE2E8F0"/>
      <name val="Segoe UI"/>
      <family val="2"/>
    </font>
    <font>
      <b/>
      <sz val="11"/>
      <color rgb="FF1E3A5F"/>
      <name val="Segoe UI"/>
      <family val="2"/>
    </font>
    <font>
      <b/>
      <sz val="10"/>
      <color rgb="FF334155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9.5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E8F0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1E3A5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8" borderId="3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27.0.0.1:5094" TargetMode="External"/><Relationship Id="rId2" Type="http://schemas.openxmlformats.org/officeDocument/2006/relationships/hyperlink" Target="http://192.168.x.x:5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3A5F"/>
  </sheetPr>
  <dimension ref="A1:N2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30.7109375" customWidth="1"/>
    <col min="4" max="4" width="25.7109375" customWidth="1"/>
    <col min="5" max="5" width="34.7109375" customWidth="1"/>
    <col min="6" max="6" width="24.7109375" customWidth="1"/>
    <col min="7" max="7" width="34.7109375" customWidth="1"/>
    <col min="8" max="8" width="12.7109375" customWidth="1"/>
    <col min="9" max="9" width="10.7109375" customWidth="1"/>
    <col min="10" max="10" width="26.7109375" customWidth="1"/>
    <col min="11" max="11" width="12.7109375" customWidth="1"/>
    <col min="12" max="12" width="22.7109375" customWidth="1"/>
    <col min="13" max="13" width="14.7109375" customWidth="1"/>
    <col min="14" max="14" width="13.7109375" customWidth="1"/>
  </cols>
  <sheetData>
    <row r="1" spans="1:14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48" customHeight="1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5" t="s">
        <v>22</v>
      </c>
      <c r="I3" s="3" t="s">
        <v>23</v>
      </c>
      <c r="J3" s="4"/>
      <c r="K3" s="3"/>
      <c r="L3" s="4"/>
      <c r="M3" s="3"/>
      <c r="N3" s="3"/>
    </row>
    <row r="4" spans="1:14" ht="48" customHeight="1">
      <c r="A4" s="6" t="s">
        <v>24</v>
      </c>
      <c r="B4" s="7" t="s">
        <v>16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5" t="s">
        <v>22</v>
      </c>
      <c r="I4" s="6" t="s">
        <v>23</v>
      </c>
      <c r="J4" s="7"/>
      <c r="K4" s="6"/>
      <c r="L4" s="7"/>
      <c r="M4" s="6"/>
      <c r="N4" s="6"/>
    </row>
    <row r="5" spans="1:14" ht="48" customHeight="1">
      <c r="A5" s="3" t="s">
        <v>30</v>
      </c>
      <c r="B5" s="4" t="s">
        <v>16</v>
      </c>
      <c r="C5" s="4" t="s">
        <v>31</v>
      </c>
      <c r="D5" s="4" t="s">
        <v>26</v>
      </c>
      <c r="E5" s="4" t="s">
        <v>32</v>
      </c>
      <c r="F5" s="4" t="s">
        <v>33</v>
      </c>
      <c r="G5" s="4" t="s">
        <v>34</v>
      </c>
      <c r="H5" s="8" t="s">
        <v>35</v>
      </c>
      <c r="I5" s="3" t="s">
        <v>23</v>
      </c>
      <c r="J5" s="4"/>
      <c r="K5" s="3"/>
      <c r="L5" s="4"/>
      <c r="M5" s="3"/>
      <c r="N5" s="3"/>
    </row>
    <row r="6" spans="1:14" ht="48" customHeight="1">
      <c r="A6" s="6" t="s">
        <v>36</v>
      </c>
      <c r="B6" s="7" t="s">
        <v>16</v>
      </c>
      <c r="C6" s="7" t="s">
        <v>37</v>
      </c>
      <c r="D6" s="7" t="s">
        <v>26</v>
      </c>
      <c r="E6" s="7" t="s">
        <v>38</v>
      </c>
      <c r="F6" s="7" t="s">
        <v>39</v>
      </c>
      <c r="G6" s="7" t="s">
        <v>40</v>
      </c>
      <c r="H6" s="8" t="s">
        <v>35</v>
      </c>
      <c r="I6" s="6" t="s">
        <v>23</v>
      </c>
      <c r="J6" s="7"/>
      <c r="K6" s="6"/>
      <c r="L6" s="7"/>
      <c r="M6" s="6"/>
      <c r="N6" s="6"/>
    </row>
    <row r="7" spans="1:14" ht="48" customHeight="1">
      <c r="A7" s="3" t="s">
        <v>41</v>
      </c>
      <c r="B7" s="4" t="s">
        <v>16</v>
      </c>
      <c r="C7" s="4" t="s">
        <v>42</v>
      </c>
      <c r="D7" s="4" t="s">
        <v>26</v>
      </c>
      <c r="E7" s="4" t="s">
        <v>43</v>
      </c>
      <c r="F7" s="4" t="s">
        <v>44</v>
      </c>
      <c r="G7" s="4" t="s">
        <v>45</v>
      </c>
      <c r="H7" s="5" t="s">
        <v>22</v>
      </c>
      <c r="I7" s="3" t="s">
        <v>23</v>
      </c>
      <c r="J7" s="4"/>
      <c r="K7" s="3"/>
      <c r="L7" s="4"/>
      <c r="M7" s="3"/>
      <c r="N7" s="3"/>
    </row>
    <row r="8" spans="1:14" ht="48" customHeight="1">
      <c r="A8" s="6" t="s">
        <v>46</v>
      </c>
      <c r="B8" s="7" t="s">
        <v>47</v>
      </c>
      <c r="C8" s="7" t="s">
        <v>48</v>
      </c>
      <c r="D8" s="7" t="s">
        <v>49</v>
      </c>
      <c r="E8" s="7" t="s">
        <v>50</v>
      </c>
      <c r="F8" s="7" t="s">
        <v>51</v>
      </c>
      <c r="G8" s="7" t="s">
        <v>52</v>
      </c>
      <c r="H8" s="9" t="s">
        <v>53</v>
      </c>
      <c r="I8" s="6" t="s">
        <v>54</v>
      </c>
      <c r="J8" s="7"/>
      <c r="K8" s="6"/>
      <c r="L8" s="7"/>
      <c r="M8" s="6"/>
      <c r="N8" s="6"/>
    </row>
    <row r="9" spans="1:14" ht="48" customHeight="1">
      <c r="A9" s="3" t="s">
        <v>55</v>
      </c>
      <c r="B9" s="4" t="s">
        <v>47</v>
      </c>
      <c r="C9" s="4" t="s">
        <v>56</v>
      </c>
      <c r="D9" s="4" t="s">
        <v>49</v>
      </c>
      <c r="E9" s="4" t="s">
        <v>57</v>
      </c>
      <c r="F9" s="4" t="s">
        <v>58</v>
      </c>
      <c r="G9" s="4" t="s">
        <v>59</v>
      </c>
      <c r="H9" s="9" t="s">
        <v>53</v>
      </c>
      <c r="I9" s="3" t="s">
        <v>54</v>
      </c>
      <c r="J9" s="4"/>
      <c r="K9" s="3"/>
      <c r="L9" s="4"/>
      <c r="M9" s="3"/>
      <c r="N9" s="3"/>
    </row>
    <row r="10" spans="1:14" ht="48" customHeight="1">
      <c r="A10" s="6" t="s">
        <v>60</v>
      </c>
      <c r="B10" s="7" t="s">
        <v>47</v>
      </c>
      <c r="C10" s="7" t="s">
        <v>61</v>
      </c>
      <c r="D10" s="7" t="s">
        <v>49</v>
      </c>
      <c r="E10" s="7" t="s">
        <v>62</v>
      </c>
      <c r="F10" s="7" t="s">
        <v>63</v>
      </c>
      <c r="G10" s="7" t="s">
        <v>64</v>
      </c>
      <c r="H10" s="9" t="s">
        <v>53</v>
      </c>
      <c r="I10" s="6" t="s">
        <v>54</v>
      </c>
      <c r="J10" s="7"/>
      <c r="K10" s="6"/>
      <c r="L10" s="7"/>
      <c r="M10" s="6"/>
      <c r="N10" s="6"/>
    </row>
    <row r="11" spans="1:14" ht="48" customHeight="1">
      <c r="A11" s="3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4" t="s">
        <v>71</v>
      </c>
      <c r="H11" s="8" t="s">
        <v>35</v>
      </c>
      <c r="I11" s="3" t="s">
        <v>23</v>
      </c>
      <c r="J11" s="4"/>
      <c r="K11" s="3"/>
      <c r="L11" s="4"/>
      <c r="M11" s="3"/>
      <c r="N11" s="3"/>
    </row>
    <row r="12" spans="1:14" ht="48" customHeight="1">
      <c r="A12" s="6" t="s">
        <v>72</v>
      </c>
      <c r="B12" s="7" t="s">
        <v>66</v>
      </c>
      <c r="C12" s="7" t="s">
        <v>73</v>
      </c>
      <c r="D12" s="7" t="s">
        <v>74</v>
      </c>
      <c r="E12" s="7" t="s">
        <v>75</v>
      </c>
      <c r="F12" s="7" t="s">
        <v>76</v>
      </c>
      <c r="G12" s="7" t="s">
        <v>77</v>
      </c>
      <c r="H12" s="8" t="s">
        <v>35</v>
      </c>
      <c r="I12" s="6" t="s">
        <v>23</v>
      </c>
      <c r="J12" s="7"/>
      <c r="K12" s="6"/>
      <c r="L12" s="7"/>
      <c r="M12" s="6"/>
      <c r="N12" s="6"/>
    </row>
    <row r="13" spans="1:14" ht="48" customHeight="1">
      <c r="A13" s="3" t="s">
        <v>78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84</v>
      </c>
      <c r="H13" s="5" t="s">
        <v>22</v>
      </c>
      <c r="I13" s="3" t="s">
        <v>23</v>
      </c>
      <c r="J13" s="4"/>
      <c r="K13" s="3"/>
      <c r="L13" s="4"/>
      <c r="M13" s="3"/>
      <c r="N13" s="3"/>
    </row>
    <row r="14" spans="1:14" ht="48" customHeight="1">
      <c r="A14" s="6" t="s">
        <v>85</v>
      </c>
      <c r="B14" s="7" t="s">
        <v>79</v>
      </c>
      <c r="C14" s="7" t="s">
        <v>86</v>
      </c>
      <c r="D14" s="7" t="s">
        <v>49</v>
      </c>
      <c r="E14" s="7" t="s">
        <v>87</v>
      </c>
      <c r="F14" s="7" t="s">
        <v>88</v>
      </c>
      <c r="G14" s="7" t="s">
        <v>89</v>
      </c>
      <c r="H14" s="5" t="s">
        <v>22</v>
      </c>
      <c r="I14" s="6" t="s">
        <v>23</v>
      </c>
      <c r="J14" s="7"/>
      <c r="K14" s="6"/>
      <c r="L14" s="7"/>
      <c r="M14" s="6"/>
      <c r="N14" s="6"/>
    </row>
    <row r="15" spans="1:14" ht="48" customHeight="1">
      <c r="A15" s="3" t="s">
        <v>90</v>
      </c>
      <c r="B15" s="4" t="s">
        <v>91</v>
      </c>
      <c r="C15" s="4" t="s">
        <v>92</v>
      </c>
      <c r="D15" s="4" t="s">
        <v>93</v>
      </c>
      <c r="E15" s="4" t="s">
        <v>94</v>
      </c>
      <c r="F15" s="4" t="s">
        <v>95</v>
      </c>
      <c r="G15" s="4" t="s">
        <v>96</v>
      </c>
      <c r="H15" s="10" t="s">
        <v>97</v>
      </c>
      <c r="I15" s="3" t="s">
        <v>98</v>
      </c>
      <c r="J15" s="4"/>
      <c r="K15" s="3"/>
      <c r="L15" s="4"/>
      <c r="M15" s="3"/>
      <c r="N15" s="3"/>
    </row>
    <row r="16" spans="1:14" ht="48" customHeight="1">
      <c r="A16" s="6" t="s">
        <v>99</v>
      </c>
      <c r="B16" s="7" t="s">
        <v>100</v>
      </c>
      <c r="C16" s="7" t="s">
        <v>101</v>
      </c>
      <c r="D16" s="7" t="s">
        <v>102</v>
      </c>
      <c r="E16" s="7" t="s">
        <v>103</v>
      </c>
      <c r="F16" s="7" t="s">
        <v>104</v>
      </c>
      <c r="G16" s="7" t="s">
        <v>105</v>
      </c>
      <c r="H16" s="8" t="s">
        <v>35</v>
      </c>
      <c r="I16" s="6" t="s">
        <v>23</v>
      </c>
      <c r="J16" s="7"/>
      <c r="K16" s="6"/>
      <c r="L16" s="7"/>
      <c r="M16" s="6"/>
      <c r="N16" s="6"/>
    </row>
    <row r="17" spans="1:14" ht="48" customHeight="1">
      <c r="A17" s="3" t="s">
        <v>106</v>
      </c>
      <c r="B17" s="4" t="s">
        <v>107</v>
      </c>
      <c r="C17" s="4" t="s">
        <v>108</v>
      </c>
      <c r="D17" s="4" t="s">
        <v>109</v>
      </c>
      <c r="E17" s="4" t="s">
        <v>110</v>
      </c>
      <c r="F17" s="4" t="s">
        <v>111</v>
      </c>
      <c r="G17" s="4" t="s">
        <v>112</v>
      </c>
      <c r="H17" s="5" t="s">
        <v>22</v>
      </c>
      <c r="I17" s="3" t="s">
        <v>23</v>
      </c>
      <c r="J17" s="4"/>
      <c r="K17" s="3"/>
      <c r="L17" s="4"/>
      <c r="M17" s="3"/>
      <c r="N17" s="3"/>
    </row>
    <row r="18" spans="1:14" ht="48" customHeight="1">
      <c r="A18" s="6" t="s">
        <v>113</v>
      </c>
      <c r="B18" s="7" t="s">
        <v>114</v>
      </c>
      <c r="C18" s="7" t="s">
        <v>115</v>
      </c>
      <c r="D18" s="7" t="s">
        <v>116</v>
      </c>
      <c r="E18" s="7" t="s">
        <v>117</v>
      </c>
      <c r="F18" s="7" t="s">
        <v>118</v>
      </c>
      <c r="G18" s="7" t="s">
        <v>119</v>
      </c>
      <c r="H18" s="8" t="s">
        <v>35</v>
      </c>
      <c r="I18" s="6" t="s">
        <v>23</v>
      </c>
      <c r="J18" s="7"/>
      <c r="K18" s="6"/>
      <c r="L18" s="7"/>
      <c r="M18" s="6"/>
      <c r="N18" s="6"/>
    </row>
    <row r="19" spans="1:14" ht="48" customHeight="1">
      <c r="A19" s="3" t="s">
        <v>120</v>
      </c>
      <c r="B19" s="4" t="s">
        <v>114</v>
      </c>
      <c r="C19" s="4" t="s">
        <v>121</v>
      </c>
      <c r="D19" s="4" t="s">
        <v>122</v>
      </c>
      <c r="E19" s="4" t="s">
        <v>123</v>
      </c>
      <c r="F19" s="4" t="s">
        <v>124</v>
      </c>
      <c r="G19" s="4" t="s">
        <v>125</v>
      </c>
      <c r="H19" s="8" t="s">
        <v>35</v>
      </c>
      <c r="I19" s="3" t="s">
        <v>23</v>
      </c>
      <c r="J19" s="4"/>
      <c r="K19" s="3"/>
      <c r="L19" s="4"/>
      <c r="M19" s="3"/>
      <c r="N19" s="3"/>
    </row>
    <row r="20" spans="1:14" ht="48" customHeight="1">
      <c r="A20" s="6" t="s">
        <v>126</v>
      </c>
      <c r="B20" s="7" t="s">
        <v>114</v>
      </c>
      <c r="C20" s="7" t="s">
        <v>127</v>
      </c>
      <c r="D20" s="7" t="s">
        <v>128</v>
      </c>
      <c r="E20" s="7" t="s">
        <v>129</v>
      </c>
      <c r="F20" s="7" t="s">
        <v>130</v>
      </c>
      <c r="G20" s="7" t="s">
        <v>131</v>
      </c>
      <c r="H20" s="8" t="s">
        <v>35</v>
      </c>
      <c r="I20" s="6" t="s">
        <v>23</v>
      </c>
      <c r="J20" s="7"/>
      <c r="K20" s="6"/>
      <c r="L20" s="7"/>
      <c r="M20" s="6"/>
      <c r="N20" s="6"/>
    </row>
    <row r="21" spans="1:14" ht="48" customHeight="1">
      <c r="A21" s="3" t="s">
        <v>132</v>
      </c>
      <c r="B21" s="4" t="s">
        <v>91</v>
      </c>
      <c r="C21" s="4" t="s">
        <v>133</v>
      </c>
      <c r="D21" s="4" t="s">
        <v>49</v>
      </c>
      <c r="E21" s="4" t="s">
        <v>134</v>
      </c>
      <c r="F21" s="4" t="s">
        <v>111</v>
      </c>
      <c r="G21" s="4" t="s">
        <v>135</v>
      </c>
      <c r="H21" s="10" t="s">
        <v>97</v>
      </c>
      <c r="I21" s="3" t="s">
        <v>98</v>
      </c>
      <c r="J21" s="4"/>
      <c r="K21" s="3"/>
      <c r="L21" s="4"/>
      <c r="M21" s="3"/>
      <c r="N21" s="3"/>
    </row>
    <row r="22" spans="1:14" ht="48" customHeight="1">
      <c r="A22" s="6" t="s">
        <v>136</v>
      </c>
      <c r="B22" s="7" t="s">
        <v>137</v>
      </c>
      <c r="C22" s="7" t="s">
        <v>138</v>
      </c>
      <c r="D22" s="7" t="s">
        <v>49</v>
      </c>
      <c r="E22" s="7" t="s">
        <v>139</v>
      </c>
      <c r="F22" s="7" t="s">
        <v>140</v>
      </c>
      <c r="G22" s="7" t="s">
        <v>141</v>
      </c>
      <c r="H22" s="9" t="s">
        <v>53</v>
      </c>
      <c r="I22" s="6" t="s">
        <v>54</v>
      </c>
      <c r="J22" s="7"/>
      <c r="K22" s="6"/>
      <c r="L22" s="7"/>
      <c r="M22" s="6"/>
      <c r="N22" s="6"/>
    </row>
    <row r="23" spans="1:14" ht="48" customHeight="1">
      <c r="A23" s="3" t="s">
        <v>142</v>
      </c>
      <c r="B23" s="4" t="s">
        <v>143</v>
      </c>
      <c r="C23" s="4" t="s">
        <v>144</v>
      </c>
      <c r="D23" s="4" t="s">
        <v>145</v>
      </c>
      <c r="E23" s="4" t="s">
        <v>146</v>
      </c>
      <c r="F23" s="4" t="s">
        <v>147</v>
      </c>
      <c r="G23" s="4" t="s">
        <v>148</v>
      </c>
      <c r="H23" s="9" t="s">
        <v>53</v>
      </c>
      <c r="I23" s="3" t="s">
        <v>54</v>
      </c>
      <c r="J23" s="4"/>
      <c r="K23" s="3"/>
      <c r="L23" s="4"/>
      <c r="M23" s="3"/>
      <c r="N23" s="3"/>
    </row>
    <row r="24" spans="1:14" ht="48" customHeight="1">
      <c r="A24" s="6" t="s">
        <v>149</v>
      </c>
      <c r="B24" s="7" t="s">
        <v>150</v>
      </c>
      <c r="C24" s="7" t="s">
        <v>151</v>
      </c>
      <c r="D24" s="7" t="s">
        <v>152</v>
      </c>
      <c r="E24" s="7" t="s">
        <v>153</v>
      </c>
      <c r="F24" s="7" t="s">
        <v>154</v>
      </c>
      <c r="G24" s="7" t="s">
        <v>155</v>
      </c>
      <c r="H24" s="9" t="s">
        <v>53</v>
      </c>
      <c r="I24" s="6" t="s">
        <v>54</v>
      </c>
      <c r="J24" s="7"/>
      <c r="K24" s="6"/>
      <c r="L24" s="7"/>
      <c r="M24" s="6"/>
      <c r="N24" s="6"/>
    </row>
    <row r="25" spans="1:14" ht="48" customHeight="1">
      <c r="A25" s="3" t="s">
        <v>156</v>
      </c>
      <c r="B25" s="4" t="s">
        <v>150</v>
      </c>
      <c r="C25" s="4" t="s">
        <v>157</v>
      </c>
      <c r="D25" s="4" t="s">
        <v>158</v>
      </c>
      <c r="E25" s="4" t="s">
        <v>159</v>
      </c>
      <c r="F25" s="4" t="s">
        <v>160</v>
      </c>
      <c r="G25" s="4" t="s">
        <v>161</v>
      </c>
      <c r="H25" s="9" t="s">
        <v>53</v>
      </c>
      <c r="I25" s="3" t="s">
        <v>54</v>
      </c>
      <c r="J25" s="4"/>
      <c r="K25" s="3"/>
      <c r="L25" s="4"/>
      <c r="M25" s="3"/>
      <c r="N25" s="3"/>
    </row>
    <row r="26" spans="1:14" ht="48" customHeight="1">
      <c r="A26" s="6" t="s">
        <v>162</v>
      </c>
      <c r="B26" s="7" t="s">
        <v>163</v>
      </c>
      <c r="C26" s="7" t="s">
        <v>164</v>
      </c>
      <c r="D26" s="7" t="s">
        <v>165</v>
      </c>
      <c r="E26" s="7" t="s">
        <v>166</v>
      </c>
      <c r="F26" s="7" t="s">
        <v>167</v>
      </c>
      <c r="G26" s="7" t="s">
        <v>168</v>
      </c>
      <c r="H26" s="9" t="s">
        <v>53</v>
      </c>
      <c r="I26" s="6" t="s">
        <v>54</v>
      </c>
      <c r="J26" s="7"/>
      <c r="K26" s="6"/>
      <c r="L26" s="7"/>
      <c r="M26" s="6"/>
      <c r="N26" s="6"/>
    </row>
    <row r="27" spans="1:14" ht="48" customHeight="1">
      <c r="A27" s="3" t="s">
        <v>169</v>
      </c>
      <c r="B27" s="4" t="s">
        <v>170</v>
      </c>
      <c r="C27" s="4" t="s">
        <v>171</v>
      </c>
      <c r="D27" s="4" t="s">
        <v>172</v>
      </c>
      <c r="E27" s="4" t="s">
        <v>173</v>
      </c>
      <c r="F27" s="4" t="s">
        <v>174</v>
      </c>
      <c r="G27" s="4" t="s">
        <v>175</v>
      </c>
      <c r="H27" s="10" t="s">
        <v>97</v>
      </c>
      <c r="I27" s="3" t="s">
        <v>98</v>
      </c>
      <c r="J27" s="4"/>
      <c r="K27" s="3"/>
      <c r="L27" s="4"/>
      <c r="M27" s="3"/>
      <c r="N27" s="3"/>
    </row>
  </sheetData>
  <mergeCells count="1">
    <mergeCell ref="A1:N1"/>
  </mergeCells>
  <dataValidations count="1">
    <dataValidation type="list" allowBlank="1" showInputMessage="1" showErrorMessage="1" promptTitle="Trạng thái Test" prompt="Chọn: Pass, Fail, Blocked hoặc Untested" sqref="K3:K27">
      <formula1>"Pass,Fail,Blocked,Untested"</formula1>
    </dataValidation>
  </dataValidations>
  <hyperlinks>
    <hyperlink ref="F18" r:id="rId1"/>
    <hyperlink ref="F19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2569B"/>
  </sheetPr>
  <dimension ref="A1:N4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30.7109375" customWidth="1"/>
    <col min="4" max="4" width="25.7109375" customWidth="1"/>
    <col min="5" max="5" width="34.7109375" customWidth="1"/>
    <col min="6" max="6" width="24.7109375" customWidth="1"/>
    <col min="7" max="7" width="34.7109375" customWidth="1"/>
    <col min="8" max="8" width="12.7109375" customWidth="1"/>
    <col min="9" max="9" width="10.7109375" customWidth="1"/>
    <col min="10" max="10" width="26.7109375" customWidth="1"/>
    <col min="11" max="11" width="12.7109375" customWidth="1"/>
    <col min="12" max="12" width="22.7109375" customWidth="1"/>
    <col min="13" max="13" width="14.7109375" customWidth="1"/>
    <col min="14" max="14" width="13.7109375" customWidth="1"/>
  </cols>
  <sheetData>
    <row r="1" spans="1:14" ht="32" customHeight="1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48" customHeight="1">
      <c r="A3" s="3" t="s">
        <v>177</v>
      </c>
      <c r="B3" s="4" t="s">
        <v>178</v>
      </c>
      <c r="C3" s="4" t="s">
        <v>179</v>
      </c>
      <c r="D3" s="4" t="s">
        <v>180</v>
      </c>
      <c r="E3" s="4" t="s">
        <v>181</v>
      </c>
      <c r="F3" s="4" t="s">
        <v>182</v>
      </c>
      <c r="G3" s="4" t="s">
        <v>183</v>
      </c>
      <c r="H3" s="8" t="s">
        <v>35</v>
      </c>
      <c r="I3" s="3" t="s">
        <v>23</v>
      </c>
      <c r="J3" s="4"/>
      <c r="K3" s="3"/>
      <c r="L3" s="4"/>
      <c r="M3" s="3"/>
      <c r="N3" s="3"/>
    </row>
    <row r="4" spans="1:14" ht="48" customHeight="1">
      <c r="A4" s="6" t="s">
        <v>184</v>
      </c>
      <c r="B4" s="7" t="s">
        <v>178</v>
      </c>
      <c r="C4" s="7" t="s">
        <v>185</v>
      </c>
      <c r="D4" s="7" t="s">
        <v>186</v>
      </c>
      <c r="E4" s="7" t="s">
        <v>187</v>
      </c>
      <c r="F4" s="7" t="s">
        <v>188</v>
      </c>
      <c r="G4" s="7" t="s">
        <v>189</v>
      </c>
      <c r="H4" s="8" t="s">
        <v>35</v>
      </c>
      <c r="I4" s="6" t="s">
        <v>23</v>
      </c>
      <c r="J4" s="7"/>
      <c r="K4" s="6"/>
      <c r="L4" s="7"/>
      <c r="M4" s="6"/>
      <c r="N4" s="6"/>
    </row>
    <row r="5" spans="1:14" ht="48" customHeight="1">
      <c r="A5" s="3" t="s">
        <v>190</v>
      </c>
      <c r="B5" s="4" t="s">
        <v>178</v>
      </c>
      <c r="C5" s="4" t="s">
        <v>191</v>
      </c>
      <c r="D5" s="4" t="s">
        <v>186</v>
      </c>
      <c r="E5" s="4" t="s">
        <v>192</v>
      </c>
      <c r="F5" s="4" t="s">
        <v>111</v>
      </c>
      <c r="G5" s="4" t="s">
        <v>193</v>
      </c>
      <c r="H5" s="9" t="s">
        <v>53</v>
      </c>
      <c r="I5" s="3" t="s">
        <v>54</v>
      </c>
      <c r="J5" s="4"/>
      <c r="K5" s="3"/>
      <c r="L5" s="4"/>
      <c r="M5" s="3"/>
      <c r="N5" s="3"/>
    </row>
    <row r="6" spans="1:14" ht="48" customHeight="1">
      <c r="A6" s="6" t="s">
        <v>194</v>
      </c>
      <c r="B6" s="7" t="s">
        <v>178</v>
      </c>
      <c r="C6" s="7" t="s">
        <v>195</v>
      </c>
      <c r="D6" s="7" t="s">
        <v>186</v>
      </c>
      <c r="E6" s="7" t="s">
        <v>196</v>
      </c>
      <c r="F6" s="7" t="s">
        <v>111</v>
      </c>
      <c r="G6" s="7" t="s">
        <v>197</v>
      </c>
      <c r="H6" s="9" t="s">
        <v>53</v>
      </c>
      <c r="I6" s="6" t="s">
        <v>54</v>
      </c>
      <c r="J6" s="7"/>
      <c r="K6" s="6"/>
      <c r="L6" s="7"/>
      <c r="M6" s="6"/>
      <c r="N6" s="6"/>
    </row>
    <row r="7" spans="1:14" ht="48" customHeight="1">
      <c r="A7" s="3" t="s">
        <v>198</v>
      </c>
      <c r="B7" s="4" t="s">
        <v>199</v>
      </c>
      <c r="C7" s="4" t="s">
        <v>200</v>
      </c>
      <c r="D7" s="4" t="s">
        <v>201</v>
      </c>
      <c r="E7" s="4" t="s">
        <v>202</v>
      </c>
      <c r="F7" s="4" t="s">
        <v>203</v>
      </c>
      <c r="G7" s="4" t="s">
        <v>204</v>
      </c>
      <c r="H7" s="8" t="s">
        <v>35</v>
      </c>
      <c r="I7" s="3" t="s">
        <v>23</v>
      </c>
      <c r="J7" s="4"/>
      <c r="K7" s="3"/>
      <c r="L7" s="4"/>
      <c r="M7" s="3"/>
      <c r="N7" s="3"/>
    </row>
    <row r="8" spans="1:14" ht="48" customHeight="1">
      <c r="A8" s="6" t="s">
        <v>205</v>
      </c>
      <c r="B8" s="7" t="s">
        <v>199</v>
      </c>
      <c r="C8" s="7" t="s">
        <v>206</v>
      </c>
      <c r="D8" s="7" t="s">
        <v>207</v>
      </c>
      <c r="E8" s="7" t="s">
        <v>208</v>
      </c>
      <c r="F8" s="7" t="s">
        <v>209</v>
      </c>
      <c r="G8" s="7" t="s">
        <v>210</v>
      </c>
      <c r="H8" s="9" t="s">
        <v>53</v>
      </c>
      <c r="I8" s="6" t="s">
        <v>54</v>
      </c>
      <c r="J8" s="7"/>
      <c r="K8" s="6"/>
      <c r="L8" s="7"/>
      <c r="M8" s="6"/>
      <c r="N8" s="6"/>
    </row>
    <row r="9" spans="1:14" ht="48" customHeight="1">
      <c r="A9" s="3" t="s">
        <v>211</v>
      </c>
      <c r="B9" s="4" t="s">
        <v>199</v>
      </c>
      <c r="C9" s="4" t="s">
        <v>212</v>
      </c>
      <c r="D9" s="4" t="s">
        <v>213</v>
      </c>
      <c r="E9" s="4" t="s">
        <v>214</v>
      </c>
      <c r="F9" s="4" t="s">
        <v>215</v>
      </c>
      <c r="G9" s="4" t="s">
        <v>216</v>
      </c>
      <c r="H9" s="8" t="s">
        <v>35</v>
      </c>
      <c r="I9" s="3" t="s">
        <v>23</v>
      </c>
      <c r="J9" s="4"/>
      <c r="K9" s="3"/>
      <c r="L9" s="4"/>
      <c r="M9" s="3"/>
      <c r="N9" s="3"/>
    </row>
    <row r="10" spans="1:14" ht="48" customHeight="1">
      <c r="A10" s="6" t="s">
        <v>217</v>
      </c>
      <c r="B10" s="7" t="s">
        <v>199</v>
      </c>
      <c r="C10" s="7" t="s">
        <v>218</v>
      </c>
      <c r="D10" s="7" t="s">
        <v>219</v>
      </c>
      <c r="E10" s="7" t="s">
        <v>220</v>
      </c>
      <c r="F10" s="7" t="s">
        <v>221</v>
      </c>
      <c r="G10" s="7" t="s">
        <v>222</v>
      </c>
      <c r="H10" s="9" t="s">
        <v>53</v>
      </c>
      <c r="I10" s="6" t="s">
        <v>54</v>
      </c>
      <c r="J10" s="7"/>
      <c r="K10" s="6"/>
      <c r="L10" s="7"/>
      <c r="M10" s="6"/>
      <c r="N10" s="6"/>
    </row>
    <row r="11" spans="1:14" ht="48" customHeight="1">
      <c r="A11" s="3" t="s">
        <v>223</v>
      </c>
      <c r="B11" s="4" t="s">
        <v>224</v>
      </c>
      <c r="C11" s="4" t="s">
        <v>225</v>
      </c>
      <c r="D11" s="4" t="s">
        <v>226</v>
      </c>
      <c r="E11" s="4" t="s">
        <v>227</v>
      </c>
      <c r="F11" s="4" t="s">
        <v>228</v>
      </c>
      <c r="G11" s="4" t="s">
        <v>229</v>
      </c>
      <c r="H11" s="8" t="s">
        <v>35</v>
      </c>
      <c r="I11" s="3" t="s">
        <v>23</v>
      </c>
      <c r="J11" s="4"/>
      <c r="K11" s="3"/>
      <c r="L11" s="4"/>
      <c r="M11" s="3"/>
      <c r="N11" s="3"/>
    </row>
    <row r="12" spans="1:14" ht="48" customHeight="1">
      <c r="A12" s="6" t="s">
        <v>230</v>
      </c>
      <c r="B12" s="7" t="s">
        <v>224</v>
      </c>
      <c r="C12" s="7" t="s">
        <v>231</v>
      </c>
      <c r="D12" s="7" t="s">
        <v>232</v>
      </c>
      <c r="E12" s="7" t="s">
        <v>233</v>
      </c>
      <c r="F12" s="7" t="s">
        <v>234</v>
      </c>
      <c r="G12" s="7" t="s">
        <v>235</v>
      </c>
      <c r="H12" s="8" t="s">
        <v>35</v>
      </c>
      <c r="I12" s="6" t="s">
        <v>23</v>
      </c>
      <c r="J12" s="7"/>
      <c r="K12" s="6"/>
      <c r="L12" s="7"/>
      <c r="M12" s="6"/>
      <c r="N12" s="6"/>
    </row>
    <row r="13" spans="1:14" ht="48" customHeight="1">
      <c r="A13" s="3" t="s">
        <v>236</v>
      </c>
      <c r="B13" s="4" t="s">
        <v>224</v>
      </c>
      <c r="C13" s="4" t="s">
        <v>237</v>
      </c>
      <c r="D13" s="4" t="s">
        <v>238</v>
      </c>
      <c r="E13" s="4" t="s">
        <v>239</v>
      </c>
      <c r="F13" s="4" t="s">
        <v>240</v>
      </c>
      <c r="G13" s="4" t="s">
        <v>241</v>
      </c>
      <c r="H13" s="9" t="s">
        <v>53</v>
      </c>
      <c r="I13" s="3" t="s">
        <v>54</v>
      </c>
      <c r="J13" s="4"/>
      <c r="K13" s="3"/>
      <c r="L13" s="4"/>
      <c r="M13" s="3"/>
      <c r="N13" s="3"/>
    </row>
    <row r="14" spans="1:14" ht="48" customHeight="1">
      <c r="A14" s="6" t="s">
        <v>242</v>
      </c>
      <c r="B14" s="7" t="s">
        <v>224</v>
      </c>
      <c r="C14" s="7" t="s">
        <v>243</v>
      </c>
      <c r="D14" s="7" t="s">
        <v>244</v>
      </c>
      <c r="E14" s="7" t="s">
        <v>245</v>
      </c>
      <c r="F14" s="7" t="s">
        <v>246</v>
      </c>
      <c r="G14" s="7" t="s">
        <v>247</v>
      </c>
      <c r="H14" s="9" t="s">
        <v>53</v>
      </c>
      <c r="I14" s="6" t="s">
        <v>54</v>
      </c>
      <c r="J14" s="7"/>
      <c r="K14" s="6"/>
      <c r="L14" s="7"/>
      <c r="M14" s="6"/>
      <c r="N14" s="6"/>
    </row>
    <row r="15" spans="1:14" ht="48" customHeight="1">
      <c r="A15" s="3" t="s">
        <v>248</v>
      </c>
      <c r="B15" s="4" t="s">
        <v>249</v>
      </c>
      <c r="C15" s="4" t="s">
        <v>250</v>
      </c>
      <c r="D15" s="4" t="s">
        <v>251</v>
      </c>
      <c r="E15" s="4" t="s">
        <v>252</v>
      </c>
      <c r="F15" s="4" t="s">
        <v>253</v>
      </c>
      <c r="G15" s="4" t="s">
        <v>254</v>
      </c>
      <c r="H15" s="5" t="s">
        <v>22</v>
      </c>
      <c r="I15" s="3" t="s">
        <v>23</v>
      </c>
      <c r="J15" s="4"/>
      <c r="K15" s="3"/>
      <c r="L15" s="4"/>
      <c r="M15" s="3"/>
      <c r="N15" s="3"/>
    </row>
    <row r="16" spans="1:14" ht="48" customHeight="1">
      <c r="A16" s="6" t="s">
        <v>255</v>
      </c>
      <c r="B16" s="7" t="s">
        <v>249</v>
      </c>
      <c r="C16" s="7" t="s">
        <v>256</v>
      </c>
      <c r="D16" s="7" t="s">
        <v>257</v>
      </c>
      <c r="E16" s="7" t="s">
        <v>258</v>
      </c>
      <c r="F16" s="7" t="s">
        <v>259</v>
      </c>
      <c r="G16" s="7" t="s">
        <v>260</v>
      </c>
      <c r="H16" s="8" t="s">
        <v>35</v>
      </c>
      <c r="I16" s="6" t="s">
        <v>54</v>
      </c>
      <c r="J16" s="7"/>
      <c r="K16" s="6"/>
      <c r="L16" s="7"/>
      <c r="M16" s="6"/>
      <c r="N16" s="6"/>
    </row>
    <row r="17" spans="1:14" ht="48" customHeight="1">
      <c r="A17" s="3" t="s">
        <v>261</v>
      </c>
      <c r="B17" s="4" t="s">
        <v>249</v>
      </c>
      <c r="C17" s="4" t="s">
        <v>262</v>
      </c>
      <c r="D17" s="4" t="s">
        <v>263</v>
      </c>
      <c r="E17" s="4" t="s">
        <v>264</v>
      </c>
      <c r="F17" s="4" t="s">
        <v>265</v>
      </c>
      <c r="G17" s="4" t="s">
        <v>266</v>
      </c>
      <c r="H17" s="8" t="s">
        <v>35</v>
      </c>
      <c r="I17" s="3" t="s">
        <v>23</v>
      </c>
      <c r="J17" s="4"/>
      <c r="K17" s="3"/>
      <c r="L17" s="4"/>
      <c r="M17" s="3"/>
      <c r="N17" s="3"/>
    </row>
    <row r="18" spans="1:14" ht="48" customHeight="1">
      <c r="A18" s="6" t="s">
        <v>267</v>
      </c>
      <c r="B18" s="7" t="s">
        <v>268</v>
      </c>
      <c r="C18" s="7" t="s">
        <v>269</v>
      </c>
      <c r="D18" s="7" t="s">
        <v>270</v>
      </c>
      <c r="E18" s="7" t="s">
        <v>271</v>
      </c>
      <c r="F18" s="7" t="s">
        <v>272</v>
      </c>
      <c r="G18" s="7" t="s">
        <v>273</v>
      </c>
      <c r="H18" s="5" t="s">
        <v>22</v>
      </c>
      <c r="I18" s="6" t="s">
        <v>23</v>
      </c>
      <c r="J18" s="7"/>
      <c r="K18" s="6"/>
      <c r="L18" s="7"/>
      <c r="M18" s="6"/>
      <c r="N18" s="6"/>
    </row>
    <row r="19" spans="1:14" ht="48" customHeight="1">
      <c r="A19" s="3" t="s">
        <v>274</v>
      </c>
      <c r="B19" s="4" t="s">
        <v>268</v>
      </c>
      <c r="C19" s="4" t="s">
        <v>275</v>
      </c>
      <c r="D19" s="4" t="s">
        <v>276</v>
      </c>
      <c r="E19" s="4" t="s">
        <v>277</v>
      </c>
      <c r="F19" s="4" t="s">
        <v>278</v>
      </c>
      <c r="G19" s="4" t="s">
        <v>279</v>
      </c>
      <c r="H19" s="8" t="s">
        <v>35</v>
      </c>
      <c r="I19" s="3" t="s">
        <v>23</v>
      </c>
      <c r="J19" s="4"/>
      <c r="K19" s="3"/>
      <c r="L19" s="4"/>
      <c r="M19" s="3"/>
      <c r="N19" s="3"/>
    </row>
    <row r="20" spans="1:14" ht="48" customHeight="1">
      <c r="A20" s="6" t="s">
        <v>280</v>
      </c>
      <c r="B20" s="7" t="s">
        <v>268</v>
      </c>
      <c r="C20" s="7" t="s">
        <v>281</v>
      </c>
      <c r="D20" s="7" t="s">
        <v>282</v>
      </c>
      <c r="E20" s="7" t="s">
        <v>283</v>
      </c>
      <c r="F20" s="7" t="s">
        <v>284</v>
      </c>
      <c r="G20" s="7" t="s">
        <v>285</v>
      </c>
      <c r="H20" s="5" t="s">
        <v>22</v>
      </c>
      <c r="I20" s="6" t="s">
        <v>23</v>
      </c>
      <c r="J20" s="7"/>
      <c r="K20" s="6"/>
      <c r="L20" s="7"/>
      <c r="M20" s="6"/>
      <c r="N20" s="6"/>
    </row>
    <row r="21" spans="1:14" ht="48" customHeight="1">
      <c r="A21" s="3" t="s">
        <v>286</v>
      </c>
      <c r="B21" s="4" t="s">
        <v>268</v>
      </c>
      <c r="C21" s="4" t="s">
        <v>287</v>
      </c>
      <c r="D21" s="4" t="s">
        <v>288</v>
      </c>
      <c r="E21" s="4" t="s">
        <v>289</v>
      </c>
      <c r="F21" s="4" t="s">
        <v>290</v>
      </c>
      <c r="G21" s="4" t="s">
        <v>291</v>
      </c>
      <c r="H21" s="8" t="s">
        <v>35</v>
      </c>
      <c r="I21" s="3" t="s">
        <v>23</v>
      </c>
      <c r="J21" s="4"/>
      <c r="K21" s="3"/>
      <c r="L21" s="4"/>
      <c r="M21" s="3"/>
      <c r="N21" s="3"/>
    </row>
    <row r="22" spans="1:14" ht="48" customHeight="1">
      <c r="A22" s="6" t="s">
        <v>292</v>
      </c>
      <c r="B22" s="7" t="s">
        <v>268</v>
      </c>
      <c r="C22" s="7" t="s">
        <v>293</v>
      </c>
      <c r="D22" s="7" t="s">
        <v>294</v>
      </c>
      <c r="E22" s="7" t="s">
        <v>295</v>
      </c>
      <c r="F22" s="7" t="s">
        <v>296</v>
      </c>
      <c r="G22" s="7" t="s">
        <v>297</v>
      </c>
      <c r="H22" s="8" t="s">
        <v>35</v>
      </c>
      <c r="I22" s="6" t="s">
        <v>23</v>
      </c>
      <c r="J22" s="7"/>
      <c r="K22" s="6"/>
      <c r="L22" s="7"/>
      <c r="M22" s="6"/>
      <c r="N22" s="6"/>
    </row>
    <row r="23" spans="1:14" ht="48" customHeight="1">
      <c r="A23" s="3" t="s">
        <v>298</v>
      </c>
      <c r="B23" s="4" t="s">
        <v>299</v>
      </c>
      <c r="C23" s="4" t="s">
        <v>300</v>
      </c>
      <c r="D23" s="4" t="s">
        <v>301</v>
      </c>
      <c r="E23" s="4" t="s">
        <v>302</v>
      </c>
      <c r="F23" s="4" t="s">
        <v>303</v>
      </c>
      <c r="G23" s="4" t="s">
        <v>304</v>
      </c>
      <c r="H23" s="8" t="s">
        <v>35</v>
      </c>
      <c r="I23" s="3" t="s">
        <v>23</v>
      </c>
      <c r="J23" s="4"/>
      <c r="K23" s="3"/>
      <c r="L23" s="4"/>
      <c r="M23" s="3"/>
      <c r="N23" s="3"/>
    </row>
    <row r="24" spans="1:14" ht="48" customHeight="1">
      <c r="A24" s="6" t="s">
        <v>305</v>
      </c>
      <c r="B24" s="7" t="s">
        <v>299</v>
      </c>
      <c r="C24" s="7" t="s">
        <v>306</v>
      </c>
      <c r="D24" s="7" t="s">
        <v>307</v>
      </c>
      <c r="E24" s="7" t="s">
        <v>308</v>
      </c>
      <c r="F24" s="7" t="s">
        <v>309</v>
      </c>
      <c r="G24" s="7" t="s">
        <v>310</v>
      </c>
      <c r="H24" s="8" t="s">
        <v>35</v>
      </c>
      <c r="I24" s="6" t="s">
        <v>23</v>
      </c>
      <c r="J24" s="7"/>
      <c r="K24" s="6"/>
      <c r="L24" s="7"/>
      <c r="M24" s="6"/>
      <c r="N24" s="6"/>
    </row>
    <row r="25" spans="1:14" ht="48" customHeight="1">
      <c r="A25" s="3" t="s">
        <v>311</v>
      </c>
      <c r="B25" s="4" t="s">
        <v>312</v>
      </c>
      <c r="C25" s="4" t="s">
        <v>313</v>
      </c>
      <c r="D25" s="4" t="s">
        <v>314</v>
      </c>
      <c r="E25" s="4" t="s">
        <v>315</v>
      </c>
      <c r="F25" s="4" t="s">
        <v>316</v>
      </c>
      <c r="G25" s="4" t="s">
        <v>317</v>
      </c>
      <c r="H25" s="8" t="s">
        <v>35</v>
      </c>
      <c r="I25" s="3" t="s">
        <v>23</v>
      </c>
      <c r="J25" s="4"/>
      <c r="K25" s="3"/>
      <c r="L25" s="4"/>
      <c r="M25" s="3"/>
      <c r="N25" s="3"/>
    </row>
    <row r="26" spans="1:14" ht="48" customHeight="1">
      <c r="A26" s="6" t="s">
        <v>318</v>
      </c>
      <c r="B26" s="7" t="s">
        <v>312</v>
      </c>
      <c r="C26" s="7" t="s">
        <v>319</v>
      </c>
      <c r="D26" s="7" t="s">
        <v>320</v>
      </c>
      <c r="E26" s="7" t="s">
        <v>321</v>
      </c>
      <c r="F26" s="7" t="s">
        <v>246</v>
      </c>
      <c r="G26" s="7" t="s">
        <v>322</v>
      </c>
      <c r="H26" s="9" t="s">
        <v>53</v>
      </c>
      <c r="I26" s="6" t="s">
        <v>54</v>
      </c>
      <c r="J26" s="7"/>
      <c r="K26" s="6"/>
      <c r="L26" s="7"/>
      <c r="M26" s="6"/>
      <c r="N26" s="6"/>
    </row>
    <row r="27" spans="1:14" ht="48" customHeight="1">
      <c r="A27" s="3" t="s">
        <v>323</v>
      </c>
      <c r="B27" s="4" t="s">
        <v>324</v>
      </c>
      <c r="C27" s="4" t="s">
        <v>325</v>
      </c>
      <c r="D27" s="4" t="s">
        <v>326</v>
      </c>
      <c r="E27" s="4" t="s">
        <v>327</v>
      </c>
      <c r="F27" s="4" t="s">
        <v>328</v>
      </c>
      <c r="G27" s="4" t="s">
        <v>329</v>
      </c>
      <c r="H27" s="8" t="s">
        <v>35</v>
      </c>
      <c r="I27" s="3" t="s">
        <v>23</v>
      </c>
      <c r="J27" s="4"/>
      <c r="K27" s="3"/>
      <c r="L27" s="4"/>
      <c r="M27" s="3"/>
      <c r="N27" s="3"/>
    </row>
    <row r="28" spans="1:14" ht="48" customHeight="1">
      <c r="A28" s="6" t="s">
        <v>330</v>
      </c>
      <c r="B28" s="7" t="s">
        <v>324</v>
      </c>
      <c r="C28" s="7" t="s">
        <v>331</v>
      </c>
      <c r="D28" s="7" t="s">
        <v>332</v>
      </c>
      <c r="E28" s="7" t="s">
        <v>333</v>
      </c>
      <c r="F28" s="7" t="s">
        <v>334</v>
      </c>
      <c r="G28" s="7" t="s">
        <v>335</v>
      </c>
      <c r="H28" s="8" t="s">
        <v>35</v>
      </c>
      <c r="I28" s="6" t="s">
        <v>23</v>
      </c>
      <c r="J28" s="7"/>
      <c r="K28" s="6"/>
      <c r="L28" s="7"/>
      <c r="M28" s="6"/>
      <c r="N28" s="6"/>
    </row>
    <row r="29" spans="1:14" ht="48" customHeight="1">
      <c r="A29" s="3" t="s">
        <v>336</v>
      </c>
      <c r="B29" s="4" t="s">
        <v>324</v>
      </c>
      <c r="C29" s="4" t="s">
        <v>337</v>
      </c>
      <c r="D29" s="4" t="s">
        <v>338</v>
      </c>
      <c r="E29" s="4" t="s">
        <v>339</v>
      </c>
      <c r="F29" s="4" t="s">
        <v>340</v>
      </c>
      <c r="G29" s="4" t="s">
        <v>341</v>
      </c>
      <c r="H29" s="9" t="s">
        <v>53</v>
      </c>
      <c r="I29" s="3" t="s">
        <v>54</v>
      </c>
      <c r="J29" s="4"/>
      <c r="K29" s="3"/>
      <c r="L29" s="4"/>
      <c r="M29" s="3"/>
      <c r="N29" s="3"/>
    </row>
    <row r="30" spans="1:14" ht="48" customHeight="1">
      <c r="A30" s="6" t="s">
        <v>342</v>
      </c>
      <c r="B30" s="7" t="s">
        <v>324</v>
      </c>
      <c r="C30" s="7" t="s">
        <v>343</v>
      </c>
      <c r="D30" s="7" t="s">
        <v>344</v>
      </c>
      <c r="E30" s="7" t="s">
        <v>345</v>
      </c>
      <c r="F30" s="7" t="s">
        <v>346</v>
      </c>
      <c r="G30" s="7" t="s">
        <v>347</v>
      </c>
      <c r="H30" s="8" t="s">
        <v>35</v>
      </c>
      <c r="I30" s="6" t="s">
        <v>23</v>
      </c>
      <c r="J30" s="7"/>
      <c r="K30" s="6"/>
      <c r="L30" s="7"/>
      <c r="M30" s="6"/>
      <c r="N30" s="6"/>
    </row>
    <row r="31" spans="1:14" ht="48" customHeight="1">
      <c r="A31" s="3" t="s">
        <v>348</v>
      </c>
      <c r="B31" s="4" t="s">
        <v>349</v>
      </c>
      <c r="C31" s="4" t="s">
        <v>350</v>
      </c>
      <c r="D31" s="4" t="s">
        <v>351</v>
      </c>
      <c r="E31" s="4" t="s">
        <v>352</v>
      </c>
      <c r="F31" s="4" t="s">
        <v>353</v>
      </c>
      <c r="G31" s="4" t="s">
        <v>354</v>
      </c>
      <c r="H31" s="8" t="s">
        <v>35</v>
      </c>
      <c r="I31" s="3" t="s">
        <v>23</v>
      </c>
      <c r="J31" s="4"/>
      <c r="K31" s="3"/>
      <c r="L31" s="4"/>
      <c r="M31" s="3"/>
      <c r="N31" s="3"/>
    </row>
    <row r="32" spans="1:14" ht="48" customHeight="1">
      <c r="A32" s="6" t="s">
        <v>355</v>
      </c>
      <c r="B32" s="7" t="s">
        <v>349</v>
      </c>
      <c r="C32" s="7" t="s">
        <v>356</v>
      </c>
      <c r="D32" s="7" t="s">
        <v>357</v>
      </c>
      <c r="E32" s="7" t="s">
        <v>358</v>
      </c>
      <c r="F32" s="7" t="s">
        <v>359</v>
      </c>
      <c r="G32" s="7" t="s">
        <v>360</v>
      </c>
      <c r="H32" s="9" t="s">
        <v>53</v>
      </c>
      <c r="I32" s="6" t="s">
        <v>54</v>
      </c>
      <c r="J32" s="7"/>
      <c r="K32" s="6"/>
      <c r="L32" s="7"/>
      <c r="M32" s="6"/>
      <c r="N32" s="6"/>
    </row>
    <row r="33" spans="1:14" ht="48" customHeight="1">
      <c r="A33" s="3" t="s">
        <v>361</v>
      </c>
      <c r="B33" s="4" t="s">
        <v>349</v>
      </c>
      <c r="C33" s="4" t="s">
        <v>362</v>
      </c>
      <c r="D33" s="4" t="s">
        <v>357</v>
      </c>
      <c r="E33" s="4" t="s">
        <v>363</v>
      </c>
      <c r="F33" s="4" t="s">
        <v>364</v>
      </c>
      <c r="G33" s="4" t="s">
        <v>365</v>
      </c>
      <c r="H33" s="8" t="s">
        <v>35</v>
      </c>
      <c r="I33" s="3" t="s">
        <v>54</v>
      </c>
      <c r="J33" s="4"/>
      <c r="K33" s="3"/>
      <c r="L33" s="4"/>
      <c r="M33" s="3"/>
      <c r="N33" s="3"/>
    </row>
    <row r="34" spans="1:14" ht="48" customHeight="1">
      <c r="A34" s="6" t="s">
        <v>366</v>
      </c>
      <c r="B34" s="7" t="s">
        <v>349</v>
      </c>
      <c r="C34" s="7" t="s">
        <v>367</v>
      </c>
      <c r="D34" s="7" t="s">
        <v>368</v>
      </c>
      <c r="E34" s="7" t="s">
        <v>369</v>
      </c>
      <c r="F34" s="7" t="s">
        <v>370</v>
      </c>
      <c r="G34" s="7" t="s">
        <v>371</v>
      </c>
      <c r="H34" s="8" t="s">
        <v>35</v>
      </c>
      <c r="I34" s="6" t="s">
        <v>23</v>
      </c>
      <c r="J34" s="7"/>
      <c r="K34" s="6"/>
      <c r="L34" s="7"/>
      <c r="M34" s="6"/>
      <c r="N34" s="6"/>
    </row>
    <row r="35" spans="1:14" ht="48" customHeight="1">
      <c r="A35" s="3" t="s">
        <v>372</v>
      </c>
      <c r="B35" s="4" t="s">
        <v>373</v>
      </c>
      <c r="C35" s="4" t="s">
        <v>374</v>
      </c>
      <c r="D35" s="4" t="s">
        <v>375</v>
      </c>
      <c r="E35" s="4" t="s">
        <v>376</v>
      </c>
      <c r="F35" s="4" t="s">
        <v>377</v>
      </c>
      <c r="G35" s="4" t="s">
        <v>378</v>
      </c>
      <c r="H35" s="8" t="s">
        <v>35</v>
      </c>
      <c r="I35" s="3" t="s">
        <v>23</v>
      </c>
      <c r="J35" s="4"/>
      <c r="K35" s="3"/>
      <c r="L35" s="4"/>
      <c r="M35" s="3"/>
      <c r="N35" s="3"/>
    </row>
    <row r="36" spans="1:14" ht="48" customHeight="1">
      <c r="A36" s="6" t="s">
        <v>379</v>
      </c>
      <c r="B36" s="7" t="s">
        <v>373</v>
      </c>
      <c r="C36" s="7" t="s">
        <v>380</v>
      </c>
      <c r="D36" s="7" t="s">
        <v>381</v>
      </c>
      <c r="E36" s="7" t="s">
        <v>382</v>
      </c>
      <c r="F36" s="7" t="s">
        <v>383</v>
      </c>
      <c r="G36" s="7" t="s">
        <v>384</v>
      </c>
      <c r="H36" s="9" t="s">
        <v>53</v>
      </c>
      <c r="I36" s="6" t="s">
        <v>54</v>
      </c>
      <c r="J36" s="7"/>
      <c r="K36" s="6"/>
      <c r="L36" s="7"/>
      <c r="M36" s="6"/>
      <c r="N36" s="6"/>
    </row>
    <row r="37" spans="1:14" ht="48" customHeight="1">
      <c r="A37" s="3" t="s">
        <v>385</v>
      </c>
      <c r="B37" s="4" t="s">
        <v>373</v>
      </c>
      <c r="C37" s="4" t="s">
        <v>386</v>
      </c>
      <c r="D37" s="4" t="s">
        <v>387</v>
      </c>
      <c r="E37" s="4" t="s">
        <v>388</v>
      </c>
      <c r="F37" s="4" t="s">
        <v>389</v>
      </c>
      <c r="G37" s="4" t="s">
        <v>390</v>
      </c>
      <c r="H37" s="9" t="s">
        <v>53</v>
      </c>
      <c r="I37" s="3" t="s">
        <v>54</v>
      </c>
      <c r="J37" s="4"/>
      <c r="K37" s="3"/>
      <c r="L37" s="4"/>
      <c r="M37" s="3"/>
      <c r="N37" s="3"/>
    </row>
    <row r="38" spans="1:14" ht="48" customHeight="1">
      <c r="A38" s="6" t="s">
        <v>391</v>
      </c>
      <c r="B38" s="7" t="s">
        <v>392</v>
      </c>
      <c r="C38" s="7" t="s">
        <v>393</v>
      </c>
      <c r="D38" s="7" t="s">
        <v>394</v>
      </c>
      <c r="E38" s="7" t="s">
        <v>395</v>
      </c>
      <c r="F38" s="7" t="s">
        <v>396</v>
      </c>
      <c r="G38" s="7" t="s">
        <v>397</v>
      </c>
      <c r="H38" s="9" t="s">
        <v>53</v>
      </c>
      <c r="I38" s="6" t="s">
        <v>54</v>
      </c>
      <c r="J38" s="7"/>
      <c r="K38" s="6"/>
      <c r="L38" s="7"/>
      <c r="M38" s="6"/>
      <c r="N38" s="6"/>
    </row>
    <row r="39" spans="1:14" ht="48" customHeight="1">
      <c r="A39" s="3" t="s">
        <v>398</v>
      </c>
      <c r="B39" s="4" t="s">
        <v>392</v>
      </c>
      <c r="C39" s="4" t="s">
        <v>399</v>
      </c>
      <c r="D39" s="4" t="s">
        <v>400</v>
      </c>
      <c r="E39" s="4" t="s">
        <v>401</v>
      </c>
      <c r="F39" s="4" t="s">
        <v>402</v>
      </c>
      <c r="G39" s="4" t="s">
        <v>403</v>
      </c>
      <c r="H39" s="9" t="s">
        <v>53</v>
      </c>
      <c r="I39" s="3" t="s">
        <v>54</v>
      </c>
      <c r="J39" s="4"/>
      <c r="K39" s="3"/>
      <c r="L39" s="4"/>
      <c r="M39" s="3"/>
      <c r="N39" s="3"/>
    </row>
    <row r="40" spans="1:14" ht="48" customHeight="1">
      <c r="A40" s="6" t="s">
        <v>404</v>
      </c>
      <c r="B40" s="7" t="s">
        <v>405</v>
      </c>
      <c r="C40" s="7" t="s">
        <v>406</v>
      </c>
      <c r="D40" s="7" t="s">
        <v>407</v>
      </c>
      <c r="E40" s="7" t="s">
        <v>408</v>
      </c>
      <c r="F40" s="7" t="s">
        <v>409</v>
      </c>
      <c r="G40" s="7" t="s">
        <v>410</v>
      </c>
      <c r="H40" s="8" t="s">
        <v>35</v>
      </c>
      <c r="I40" s="6" t="s">
        <v>23</v>
      </c>
      <c r="J40" s="7"/>
      <c r="K40" s="6"/>
      <c r="L40" s="7"/>
      <c r="M40" s="6"/>
      <c r="N40" s="6"/>
    </row>
  </sheetData>
  <mergeCells count="1">
    <mergeCell ref="A1:N1"/>
  </mergeCells>
  <dataValidations count="1">
    <dataValidation type="list" allowBlank="1" showInputMessage="1" showErrorMessage="1" promptTitle="Trạng thái Test" prompt="Chọn: Pass, Fail, Blocked hoặc Untested" sqref="K3:K40">
      <formula1>"Pass,Fail,Blocked,Untested"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63EB"/>
  </sheetPr>
  <dimension ref="A1:N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30.7109375" customWidth="1"/>
    <col min="4" max="4" width="25.7109375" customWidth="1"/>
    <col min="5" max="5" width="34.7109375" customWidth="1"/>
    <col min="6" max="6" width="24.7109375" customWidth="1"/>
    <col min="7" max="7" width="34.7109375" customWidth="1"/>
    <col min="8" max="8" width="12.7109375" customWidth="1"/>
    <col min="9" max="9" width="10.7109375" customWidth="1"/>
    <col min="10" max="10" width="26.7109375" customWidth="1"/>
    <col min="11" max="11" width="12.7109375" customWidth="1"/>
    <col min="12" max="12" width="22.7109375" customWidth="1"/>
    <col min="13" max="13" width="14.7109375" customWidth="1"/>
    <col min="14" max="14" width="13.7109375" customWidth="1"/>
  </cols>
  <sheetData>
    <row r="1" spans="1:14" ht="32" customHeight="1">
      <c r="A1" s="1" t="s">
        <v>411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48" customHeight="1">
      <c r="A3" s="3" t="s">
        <v>412</v>
      </c>
      <c r="B3" s="4" t="s">
        <v>413</v>
      </c>
      <c r="C3" s="4" t="s">
        <v>414</v>
      </c>
      <c r="D3" s="4" t="s">
        <v>415</v>
      </c>
      <c r="E3" s="4" t="s">
        <v>416</v>
      </c>
      <c r="F3" s="4" t="s">
        <v>417</v>
      </c>
      <c r="G3" s="4" t="s">
        <v>418</v>
      </c>
      <c r="H3" s="8" t="s">
        <v>35</v>
      </c>
      <c r="I3" s="3" t="s">
        <v>23</v>
      </c>
      <c r="J3" s="4"/>
      <c r="K3" s="3"/>
      <c r="L3" s="4"/>
      <c r="M3" s="3"/>
      <c r="N3" s="3"/>
    </row>
    <row r="4" spans="1:14" ht="48" customHeight="1">
      <c r="A4" s="6" t="s">
        <v>419</v>
      </c>
      <c r="B4" s="7" t="s">
        <v>199</v>
      </c>
      <c r="C4" s="7" t="s">
        <v>420</v>
      </c>
      <c r="D4" s="7" t="s">
        <v>421</v>
      </c>
      <c r="E4" s="7" t="s">
        <v>422</v>
      </c>
      <c r="F4" s="7" t="s">
        <v>423</v>
      </c>
      <c r="G4" s="7" t="s">
        <v>424</v>
      </c>
      <c r="H4" s="8" t="s">
        <v>35</v>
      </c>
      <c r="I4" s="6" t="s">
        <v>23</v>
      </c>
      <c r="J4" s="7"/>
      <c r="K4" s="6"/>
      <c r="L4" s="7"/>
      <c r="M4" s="6"/>
      <c r="N4" s="6"/>
    </row>
    <row r="5" spans="1:14" ht="48" customHeight="1">
      <c r="A5" s="3" t="s">
        <v>425</v>
      </c>
      <c r="B5" s="4" t="s">
        <v>426</v>
      </c>
      <c r="C5" s="4" t="s">
        <v>427</v>
      </c>
      <c r="D5" s="4" t="s">
        <v>428</v>
      </c>
      <c r="E5" s="4" t="s">
        <v>429</v>
      </c>
      <c r="F5" s="4" t="s">
        <v>215</v>
      </c>
      <c r="G5" s="4" t="s">
        <v>430</v>
      </c>
      <c r="H5" s="8" t="s">
        <v>35</v>
      </c>
      <c r="I5" s="3" t="s">
        <v>23</v>
      </c>
      <c r="J5" s="4"/>
      <c r="K5" s="3"/>
      <c r="L5" s="4"/>
      <c r="M5" s="3"/>
      <c r="N5" s="3"/>
    </row>
    <row r="6" spans="1:14" ht="48" customHeight="1">
      <c r="A6" s="6" t="s">
        <v>431</v>
      </c>
      <c r="B6" s="7" t="s">
        <v>426</v>
      </c>
      <c r="C6" s="7" t="s">
        <v>432</v>
      </c>
      <c r="D6" s="7" t="s">
        <v>433</v>
      </c>
      <c r="E6" s="7" t="s">
        <v>434</v>
      </c>
      <c r="F6" s="7" t="s">
        <v>111</v>
      </c>
      <c r="G6" s="7" t="s">
        <v>435</v>
      </c>
      <c r="H6" s="8" t="s">
        <v>35</v>
      </c>
      <c r="I6" s="6" t="s">
        <v>23</v>
      </c>
      <c r="J6" s="7"/>
      <c r="K6" s="6"/>
      <c r="L6" s="7"/>
      <c r="M6" s="6"/>
      <c r="N6" s="6"/>
    </row>
    <row r="7" spans="1:14" ht="48" customHeight="1">
      <c r="A7" s="3" t="s">
        <v>436</v>
      </c>
      <c r="B7" s="4" t="s">
        <v>437</v>
      </c>
      <c r="C7" s="4" t="s">
        <v>438</v>
      </c>
      <c r="D7" s="4" t="s">
        <v>439</v>
      </c>
      <c r="E7" s="4" t="s">
        <v>440</v>
      </c>
      <c r="F7" s="4" t="s">
        <v>441</v>
      </c>
      <c r="G7" s="4" t="s">
        <v>442</v>
      </c>
      <c r="H7" s="5" t="s">
        <v>22</v>
      </c>
      <c r="I7" s="3" t="s">
        <v>23</v>
      </c>
      <c r="J7" s="4"/>
      <c r="K7" s="3"/>
      <c r="L7" s="4"/>
      <c r="M7" s="3"/>
      <c r="N7" s="3"/>
    </row>
    <row r="8" spans="1:14" ht="48" customHeight="1">
      <c r="A8" s="6" t="s">
        <v>443</v>
      </c>
      <c r="B8" s="7" t="s">
        <v>444</v>
      </c>
      <c r="C8" s="7" t="s">
        <v>445</v>
      </c>
      <c r="D8" s="7" t="s">
        <v>446</v>
      </c>
      <c r="E8" s="7" t="s">
        <v>447</v>
      </c>
      <c r="F8" s="7" t="s">
        <v>246</v>
      </c>
      <c r="G8" s="7" t="s">
        <v>448</v>
      </c>
      <c r="H8" s="9" t="s">
        <v>53</v>
      </c>
      <c r="I8" s="6" t="s">
        <v>54</v>
      </c>
      <c r="J8" s="7"/>
      <c r="K8" s="6"/>
      <c r="L8" s="7"/>
      <c r="M8" s="6"/>
      <c r="N8" s="6"/>
    </row>
    <row r="9" spans="1:14" ht="48" customHeight="1">
      <c r="A9" s="3" t="s">
        <v>449</v>
      </c>
      <c r="B9" s="4" t="s">
        <v>450</v>
      </c>
      <c r="C9" s="4" t="s">
        <v>451</v>
      </c>
      <c r="D9" s="4" t="s">
        <v>452</v>
      </c>
      <c r="E9" s="4" t="s">
        <v>453</v>
      </c>
      <c r="F9" s="4" t="s">
        <v>454</v>
      </c>
      <c r="G9" s="4" t="s">
        <v>455</v>
      </c>
      <c r="H9" s="8" t="s">
        <v>35</v>
      </c>
      <c r="I9" s="3" t="s">
        <v>54</v>
      </c>
      <c r="J9" s="4"/>
      <c r="K9" s="3"/>
      <c r="L9" s="4"/>
      <c r="M9" s="3"/>
      <c r="N9" s="3"/>
    </row>
    <row r="10" spans="1:14" ht="48" customHeight="1">
      <c r="A10" s="6" t="s">
        <v>456</v>
      </c>
      <c r="B10" s="7" t="s">
        <v>450</v>
      </c>
      <c r="C10" s="7" t="s">
        <v>457</v>
      </c>
      <c r="D10" s="7" t="s">
        <v>458</v>
      </c>
      <c r="E10" s="7" t="s">
        <v>459</v>
      </c>
      <c r="F10" s="7" t="s">
        <v>460</v>
      </c>
      <c r="G10" s="7" t="s">
        <v>461</v>
      </c>
      <c r="H10" s="9" t="s">
        <v>53</v>
      </c>
      <c r="I10" s="6" t="s">
        <v>54</v>
      </c>
      <c r="J10" s="7"/>
      <c r="K10" s="6"/>
      <c r="L10" s="7"/>
      <c r="M10" s="6"/>
      <c r="N10" s="6"/>
    </row>
    <row r="11" spans="1:14" ht="48" customHeight="1">
      <c r="A11" s="3" t="s">
        <v>462</v>
      </c>
      <c r="B11" s="4" t="s">
        <v>463</v>
      </c>
      <c r="C11" s="4" t="s">
        <v>464</v>
      </c>
      <c r="D11" s="4" t="s">
        <v>465</v>
      </c>
      <c r="E11" s="4" t="s">
        <v>466</v>
      </c>
      <c r="F11" s="4" t="s">
        <v>467</v>
      </c>
      <c r="G11" s="4" t="s">
        <v>468</v>
      </c>
      <c r="H11" s="8" t="s">
        <v>35</v>
      </c>
      <c r="I11" s="3" t="s">
        <v>54</v>
      </c>
      <c r="J11" s="4"/>
      <c r="K11" s="3"/>
      <c r="L11" s="4"/>
      <c r="M11" s="3"/>
      <c r="N11" s="3"/>
    </row>
    <row r="12" spans="1:14" ht="48" customHeight="1">
      <c r="A12" s="6" t="s">
        <v>469</v>
      </c>
      <c r="B12" s="7" t="s">
        <v>463</v>
      </c>
      <c r="C12" s="7" t="s">
        <v>470</v>
      </c>
      <c r="D12" s="7" t="s">
        <v>471</v>
      </c>
      <c r="E12" s="7" t="s">
        <v>472</v>
      </c>
      <c r="F12" s="7" t="s">
        <v>473</v>
      </c>
      <c r="G12" s="7" t="s">
        <v>474</v>
      </c>
      <c r="H12" s="5" t="s">
        <v>22</v>
      </c>
      <c r="I12" s="6" t="s">
        <v>23</v>
      </c>
      <c r="J12" s="7"/>
      <c r="K12" s="6"/>
      <c r="L12" s="7"/>
      <c r="M12" s="6"/>
      <c r="N12" s="6"/>
    </row>
    <row r="13" spans="1:14" ht="48" customHeight="1">
      <c r="A13" s="3" t="s">
        <v>475</v>
      </c>
      <c r="B13" s="4" t="s">
        <v>476</v>
      </c>
      <c r="C13" s="4" t="s">
        <v>477</v>
      </c>
      <c r="D13" s="4" t="s">
        <v>478</v>
      </c>
      <c r="E13" s="4" t="s">
        <v>479</v>
      </c>
      <c r="F13" s="4" t="s">
        <v>480</v>
      </c>
      <c r="G13" s="4" t="s">
        <v>481</v>
      </c>
      <c r="H13" s="5" t="s">
        <v>22</v>
      </c>
      <c r="I13" s="3" t="s">
        <v>23</v>
      </c>
      <c r="J13" s="4"/>
      <c r="K13" s="3"/>
      <c r="L13" s="4"/>
      <c r="M13" s="3"/>
      <c r="N13" s="3"/>
    </row>
    <row r="14" spans="1:14" ht="48" customHeight="1">
      <c r="A14" s="6" t="s">
        <v>482</v>
      </c>
      <c r="B14" s="7" t="s">
        <v>483</v>
      </c>
      <c r="C14" s="7" t="s">
        <v>484</v>
      </c>
      <c r="D14" s="7" t="s">
        <v>478</v>
      </c>
      <c r="E14" s="7" t="s">
        <v>485</v>
      </c>
      <c r="F14" s="7" t="s">
        <v>486</v>
      </c>
      <c r="G14" s="7" t="s">
        <v>487</v>
      </c>
      <c r="H14" s="8" t="s">
        <v>35</v>
      </c>
      <c r="I14" s="6" t="s">
        <v>23</v>
      </c>
      <c r="J14" s="7"/>
      <c r="K14" s="6"/>
      <c r="L14" s="7"/>
      <c r="M14" s="6"/>
      <c r="N14" s="6"/>
    </row>
    <row r="15" spans="1:14" ht="48" customHeight="1">
      <c r="A15" s="3" t="s">
        <v>488</v>
      </c>
      <c r="B15" s="4" t="s">
        <v>489</v>
      </c>
      <c r="C15" s="4" t="s">
        <v>490</v>
      </c>
      <c r="D15" s="4" t="s">
        <v>491</v>
      </c>
      <c r="E15" s="4" t="s">
        <v>492</v>
      </c>
      <c r="F15" s="4" t="s">
        <v>493</v>
      </c>
      <c r="G15" s="4" t="s">
        <v>494</v>
      </c>
      <c r="H15" s="8" t="s">
        <v>35</v>
      </c>
      <c r="I15" s="3" t="s">
        <v>23</v>
      </c>
      <c r="J15" s="4"/>
      <c r="K15" s="3"/>
      <c r="L15" s="4"/>
      <c r="M15" s="3"/>
      <c r="N15" s="3"/>
    </row>
    <row r="16" spans="1:14" ht="48" customHeight="1">
      <c r="A16" s="6" t="s">
        <v>495</v>
      </c>
      <c r="B16" s="7" t="s">
        <v>489</v>
      </c>
      <c r="C16" s="7" t="s">
        <v>496</v>
      </c>
      <c r="D16" s="7" t="s">
        <v>497</v>
      </c>
      <c r="E16" s="7" t="s">
        <v>498</v>
      </c>
      <c r="F16" s="7" t="s">
        <v>499</v>
      </c>
      <c r="G16" s="7" t="s">
        <v>500</v>
      </c>
      <c r="H16" s="5" t="s">
        <v>22</v>
      </c>
      <c r="I16" s="6" t="s">
        <v>23</v>
      </c>
      <c r="J16" s="7"/>
      <c r="K16" s="6"/>
      <c r="L16" s="7"/>
      <c r="M16" s="6"/>
      <c r="N16" s="6"/>
    </row>
    <row r="17" spans="1:14" ht="48" customHeight="1">
      <c r="A17" s="3" t="s">
        <v>501</v>
      </c>
      <c r="B17" s="4" t="s">
        <v>502</v>
      </c>
      <c r="C17" s="4" t="s">
        <v>503</v>
      </c>
      <c r="D17" s="4" t="s">
        <v>497</v>
      </c>
      <c r="E17" s="4" t="s">
        <v>504</v>
      </c>
      <c r="F17" s="4" t="s">
        <v>505</v>
      </c>
      <c r="G17" s="4" t="s">
        <v>506</v>
      </c>
      <c r="H17" s="8" t="s">
        <v>35</v>
      </c>
      <c r="I17" s="3" t="s">
        <v>23</v>
      </c>
      <c r="J17" s="4"/>
      <c r="K17" s="3"/>
      <c r="L17" s="4"/>
      <c r="M17" s="3"/>
      <c r="N17" s="3"/>
    </row>
    <row r="18" spans="1:14" ht="48" customHeight="1">
      <c r="A18" s="6" t="s">
        <v>507</v>
      </c>
      <c r="B18" s="7" t="s">
        <v>508</v>
      </c>
      <c r="C18" s="7" t="s">
        <v>509</v>
      </c>
      <c r="D18" s="7" t="s">
        <v>510</v>
      </c>
      <c r="E18" s="7" t="s">
        <v>511</v>
      </c>
      <c r="F18" s="7" t="s">
        <v>328</v>
      </c>
      <c r="G18" s="7" t="s">
        <v>512</v>
      </c>
      <c r="H18" s="8" t="s">
        <v>35</v>
      </c>
      <c r="I18" s="6" t="s">
        <v>23</v>
      </c>
      <c r="J18" s="7"/>
      <c r="K18" s="6"/>
      <c r="L18" s="7"/>
      <c r="M18" s="6"/>
      <c r="N18" s="6"/>
    </row>
    <row r="19" spans="1:14" ht="48" customHeight="1">
      <c r="A19" s="3" t="s">
        <v>513</v>
      </c>
      <c r="B19" s="4" t="s">
        <v>508</v>
      </c>
      <c r="C19" s="4" t="s">
        <v>514</v>
      </c>
      <c r="D19" s="4" t="s">
        <v>515</v>
      </c>
      <c r="E19" s="4" t="s">
        <v>516</v>
      </c>
      <c r="F19" s="4" t="s">
        <v>517</v>
      </c>
      <c r="G19" s="4" t="s">
        <v>518</v>
      </c>
      <c r="H19" s="8" t="s">
        <v>35</v>
      </c>
      <c r="I19" s="3" t="s">
        <v>23</v>
      </c>
      <c r="J19" s="4"/>
      <c r="K19" s="3"/>
      <c r="L19" s="4"/>
      <c r="M19" s="3"/>
      <c r="N19" s="3"/>
    </row>
    <row r="20" spans="1:14" ht="48" customHeight="1">
      <c r="A20" s="6" t="s">
        <v>519</v>
      </c>
      <c r="B20" s="7" t="s">
        <v>520</v>
      </c>
      <c r="C20" s="7" t="s">
        <v>521</v>
      </c>
      <c r="D20" s="7" t="s">
        <v>522</v>
      </c>
      <c r="E20" s="7" t="s">
        <v>523</v>
      </c>
      <c r="F20" s="7" t="s">
        <v>524</v>
      </c>
      <c r="G20" s="7" t="s">
        <v>525</v>
      </c>
      <c r="H20" s="9" t="s">
        <v>53</v>
      </c>
      <c r="I20" s="6" t="s">
        <v>54</v>
      </c>
      <c r="J20" s="7"/>
      <c r="K20" s="6"/>
      <c r="L20" s="7"/>
      <c r="M20" s="6"/>
      <c r="N20" s="6"/>
    </row>
    <row r="21" spans="1:14" ht="48" customHeight="1">
      <c r="A21" s="3" t="s">
        <v>526</v>
      </c>
      <c r="B21" s="4" t="s">
        <v>527</v>
      </c>
      <c r="C21" s="4" t="s">
        <v>528</v>
      </c>
      <c r="D21" s="4" t="s">
        <v>529</v>
      </c>
      <c r="E21" s="4" t="s">
        <v>530</v>
      </c>
      <c r="F21" s="4" t="s">
        <v>531</v>
      </c>
      <c r="G21" s="4" t="s">
        <v>532</v>
      </c>
      <c r="H21" s="8" t="s">
        <v>35</v>
      </c>
      <c r="I21" s="3" t="s">
        <v>23</v>
      </c>
      <c r="J21" s="4"/>
      <c r="K21" s="3"/>
      <c r="L21" s="4"/>
      <c r="M21" s="3"/>
      <c r="N21" s="3"/>
    </row>
    <row r="22" spans="1:14" ht="48" customHeight="1">
      <c r="A22" s="6" t="s">
        <v>533</v>
      </c>
      <c r="B22" s="7" t="s">
        <v>534</v>
      </c>
      <c r="C22" s="7" t="s">
        <v>535</v>
      </c>
      <c r="D22" s="7" t="s">
        <v>536</v>
      </c>
      <c r="E22" s="7" t="s">
        <v>537</v>
      </c>
      <c r="F22" s="7" t="s">
        <v>538</v>
      </c>
      <c r="G22" s="7" t="s">
        <v>539</v>
      </c>
      <c r="H22" s="9" t="s">
        <v>53</v>
      </c>
      <c r="I22" s="6" t="s">
        <v>54</v>
      </c>
      <c r="J22" s="7"/>
      <c r="K22" s="6"/>
      <c r="L22" s="7"/>
      <c r="M22" s="6"/>
      <c r="N22" s="6"/>
    </row>
    <row r="23" spans="1:14" ht="48" customHeight="1">
      <c r="A23" s="3" t="s">
        <v>540</v>
      </c>
      <c r="B23" s="4" t="s">
        <v>541</v>
      </c>
      <c r="C23" s="4" t="s">
        <v>542</v>
      </c>
      <c r="D23" s="4" t="s">
        <v>543</v>
      </c>
      <c r="E23" s="4" t="s">
        <v>544</v>
      </c>
      <c r="F23" s="4" t="s">
        <v>545</v>
      </c>
      <c r="G23" s="4" t="s">
        <v>546</v>
      </c>
      <c r="H23" s="8" t="s">
        <v>35</v>
      </c>
      <c r="I23" s="3" t="s">
        <v>23</v>
      </c>
      <c r="J23" s="4"/>
      <c r="K23" s="3"/>
      <c r="L23" s="4"/>
      <c r="M23" s="3"/>
      <c r="N23" s="3"/>
    </row>
    <row r="24" spans="1:14" ht="48" customHeight="1">
      <c r="A24" s="6" t="s">
        <v>547</v>
      </c>
      <c r="B24" s="7" t="s">
        <v>548</v>
      </c>
      <c r="C24" s="7" t="s">
        <v>549</v>
      </c>
      <c r="D24" s="7" t="s">
        <v>550</v>
      </c>
      <c r="E24" s="7" t="s">
        <v>551</v>
      </c>
      <c r="F24" s="7" t="s">
        <v>552</v>
      </c>
      <c r="G24" s="7" t="s">
        <v>553</v>
      </c>
      <c r="H24" s="9" t="s">
        <v>53</v>
      </c>
      <c r="I24" s="6" t="s">
        <v>54</v>
      </c>
      <c r="J24" s="7"/>
      <c r="K24" s="6"/>
      <c r="L24" s="7"/>
      <c r="M24" s="6"/>
      <c r="N24" s="6"/>
    </row>
    <row r="25" spans="1:14" ht="48" customHeight="1">
      <c r="A25" s="3" t="s">
        <v>554</v>
      </c>
      <c r="B25" s="4" t="s">
        <v>555</v>
      </c>
      <c r="C25" s="4" t="s">
        <v>556</v>
      </c>
      <c r="D25" s="4" t="s">
        <v>557</v>
      </c>
      <c r="E25" s="4" t="s">
        <v>558</v>
      </c>
      <c r="F25" s="4" t="s">
        <v>111</v>
      </c>
      <c r="G25" s="4" t="s">
        <v>559</v>
      </c>
      <c r="H25" s="9" t="s">
        <v>53</v>
      </c>
      <c r="I25" s="3" t="s">
        <v>54</v>
      </c>
      <c r="J25" s="4"/>
      <c r="K25" s="3"/>
      <c r="L25" s="4"/>
      <c r="M25" s="3"/>
      <c r="N25" s="3"/>
    </row>
    <row r="26" spans="1:14" ht="48" customHeight="1">
      <c r="A26" s="6" t="s">
        <v>560</v>
      </c>
      <c r="B26" s="7" t="s">
        <v>561</v>
      </c>
      <c r="C26" s="7" t="s">
        <v>562</v>
      </c>
      <c r="D26" s="7" t="s">
        <v>563</v>
      </c>
      <c r="E26" s="7" t="s">
        <v>564</v>
      </c>
      <c r="F26" s="7" t="s">
        <v>377</v>
      </c>
      <c r="G26" s="7" t="s">
        <v>565</v>
      </c>
      <c r="H26" s="9" t="s">
        <v>53</v>
      </c>
      <c r="I26" s="6" t="s">
        <v>54</v>
      </c>
      <c r="J26" s="7"/>
      <c r="K26" s="6"/>
      <c r="L26" s="7"/>
      <c r="M26" s="6"/>
      <c r="N26" s="6"/>
    </row>
    <row r="27" spans="1:14" ht="48" customHeight="1">
      <c r="A27" s="3" t="s">
        <v>566</v>
      </c>
      <c r="B27" s="4" t="s">
        <v>567</v>
      </c>
      <c r="C27" s="4" t="s">
        <v>568</v>
      </c>
      <c r="D27" s="4" t="s">
        <v>415</v>
      </c>
      <c r="E27" s="4" t="s">
        <v>569</v>
      </c>
      <c r="F27" s="4" t="s">
        <v>402</v>
      </c>
      <c r="G27" s="4" t="s">
        <v>570</v>
      </c>
      <c r="H27" s="9" t="s">
        <v>53</v>
      </c>
      <c r="I27" s="3" t="s">
        <v>98</v>
      </c>
      <c r="J27" s="4"/>
      <c r="K27" s="3"/>
      <c r="L27" s="4"/>
      <c r="M27" s="3"/>
      <c r="N27" s="3"/>
    </row>
  </sheetData>
  <mergeCells count="1">
    <mergeCell ref="A1:N1"/>
  </mergeCells>
  <dataValidations count="1">
    <dataValidation type="list" allowBlank="1" showInputMessage="1" showErrorMessage="1" promptTitle="Trạng thái Test" prompt="Chọn: Pass, Fail, Blocked hoặc Untested" sqref="K3:K27">
      <formula1>"Pass,Fail,Blocked,Untested"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59669"/>
  </sheetPr>
  <dimension ref="A1:N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30.7109375" customWidth="1"/>
    <col min="4" max="4" width="25.7109375" customWidth="1"/>
    <col min="5" max="5" width="34.7109375" customWidth="1"/>
    <col min="6" max="6" width="24.7109375" customWidth="1"/>
    <col min="7" max="7" width="34.7109375" customWidth="1"/>
    <col min="8" max="8" width="12.7109375" customWidth="1"/>
    <col min="9" max="9" width="10.7109375" customWidth="1"/>
    <col min="10" max="10" width="26.7109375" customWidth="1"/>
    <col min="11" max="11" width="12.7109375" customWidth="1"/>
    <col min="12" max="12" width="22.7109375" customWidth="1"/>
    <col min="13" max="13" width="14.7109375" customWidth="1"/>
    <col min="14" max="14" width="13.7109375" customWidth="1"/>
  </cols>
  <sheetData>
    <row r="1" spans="1:14" ht="32" customHeight="1">
      <c r="A1" s="1" t="s">
        <v>571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48" customHeight="1">
      <c r="A3" s="3" t="s">
        <v>572</v>
      </c>
      <c r="B3" s="4" t="s">
        <v>573</v>
      </c>
      <c r="C3" s="4" t="s">
        <v>574</v>
      </c>
      <c r="D3" s="4" t="s">
        <v>575</v>
      </c>
      <c r="E3" s="4" t="s">
        <v>576</v>
      </c>
      <c r="F3" s="4" t="s">
        <v>577</v>
      </c>
      <c r="G3" s="4" t="s">
        <v>578</v>
      </c>
      <c r="H3" s="8" t="s">
        <v>35</v>
      </c>
      <c r="I3" s="3" t="s">
        <v>23</v>
      </c>
      <c r="J3" s="4"/>
      <c r="K3" s="3"/>
      <c r="L3" s="4"/>
      <c r="M3" s="3"/>
      <c r="N3" s="3"/>
    </row>
    <row r="4" spans="1:14" ht="48" customHeight="1">
      <c r="A4" s="6" t="s">
        <v>579</v>
      </c>
      <c r="B4" s="7" t="s">
        <v>580</v>
      </c>
      <c r="C4" s="7" t="s">
        <v>581</v>
      </c>
      <c r="D4" s="7" t="s">
        <v>582</v>
      </c>
      <c r="E4" s="7" t="s">
        <v>583</v>
      </c>
      <c r="F4" s="7" t="s">
        <v>584</v>
      </c>
      <c r="G4" s="7" t="s">
        <v>585</v>
      </c>
      <c r="H4" s="8" t="s">
        <v>35</v>
      </c>
      <c r="I4" s="6" t="s">
        <v>23</v>
      </c>
      <c r="J4" s="7"/>
      <c r="K4" s="6"/>
      <c r="L4" s="7"/>
      <c r="M4" s="6"/>
      <c r="N4" s="6"/>
    </row>
    <row r="5" spans="1:14" ht="48" customHeight="1">
      <c r="A5" s="3" t="s">
        <v>586</v>
      </c>
      <c r="B5" s="4" t="s">
        <v>587</v>
      </c>
      <c r="C5" s="4" t="s">
        <v>588</v>
      </c>
      <c r="D5" s="4" t="s">
        <v>589</v>
      </c>
      <c r="E5" s="4" t="s">
        <v>590</v>
      </c>
      <c r="F5" s="4" t="s">
        <v>591</v>
      </c>
      <c r="G5" s="4" t="s">
        <v>592</v>
      </c>
      <c r="H5" s="9" t="s">
        <v>53</v>
      </c>
      <c r="I5" s="3" t="s">
        <v>54</v>
      </c>
      <c r="J5" s="4"/>
      <c r="K5" s="3"/>
      <c r="L5" s="4"/>
      <c r="M5" s="3"/>
      <c r="N5" s="3"/>
    </row>
    <row r="6" spans="1:14" ht="48" customHeight="1">
      <c r="A6" s="6" t="s">
        <v>593</v>
      </c>
      <c r="B6" s="7" t="s">
        <v>594</v>
      </c>
      <c r="C6" s="7" t="s">
        <v>595</v>
      </c>
      <c r="D6" s="7" t="s">
        <v>596</v>
      </c>
      <c r="E6" s="7" t="s">
        <v>597</v>
      </c>
      <c r="F6" s="7" t="s">
        <v>598</v>
      </c>
      <c r="G6" s="7" t="s">
        <v>599</v>
      </c>
      <c r="H6" s="5" t="s">
        <v>22</v>
      </c>
      <c r="I6" s="6" t="s">
        <v>23</v>
      </c>
      <c r="J6" s="7"/>
      <c r="K6" s="6"/>
      <c r="L6" s="7"/>
      <c r="M6" s="6"/>
      <c r="N6" s="6"/>
    </row>
    <row r="7" spans="1:14" ht="48" customHeight="1">
      <c r="A7" s="3" t="s">
        <v>600</v>
      </c>
      <c r="B7" s="4" t="s">
        <v>601</v>
      </c>
      <c r="C7" s="4" t="s">
        <v>602</v>
      </c>
      <c r="D7" s="4" t="s">
        <v>603</v>
      </c>
      <c r="E7" s="4" t="s">
        <v>604</v>
      </c>
      <c r="F7" s="4" t="s">
        <v>605</v>
      </c>
      <c r="G7" s="4" t="s">
        <v>606</v>
      </c>
      <c r="H7" s="8" t="s">
        <v>35</v>
      </c>
      <c r="I7" s="3" t="s">
        <v>54</v>
      </c>
      <c r="J7" s="4"/>
      <c r="K7" s="3"/>
      <c r="L7" s="4"/>
      <c r="M7" s="3"/>
      <c r="N7" s="3"/>
    </row>
    <row r="8" spans="1:14" ht="48" customHeight="1">
      <c r="A8" s="6" t="s">
        <v>607</v>
      </c>
      <c r="B8" s="7" t="s">
        <v>608</v>
      </c>
      <c r="C8" s="7" t="s">
        <v>609</v>
      </c>
      <c r="D8" s="7" t="s">
        <v>610</v>
      </c>
      <c r="E8" s="7" t="s">
        <v>611</v>
      </c>
      <c r="F8" s="7" t="s">
        <v>612</v>
      </c>
      <c r="G8" s="7" t="s">
        <v>613</v>
      </c>
      <c r="H8" s="9" t="s">
        <v>53</v>
      </c>
      <c r="I8" s="6" t="s">
        <v>54</v>
      </c>
      <c r="J8" s="7"/>
      <c r="K8" s="6"/>
      <c r="L8" s="7"/>
      <c r="M8" s="6"/>
      <c r="N8" s="6"/>
    </row>
    <row r="9" spans="1:14" ht="48" customHeight="1">
      <c r="A9" s="3" t="s">
        <v>614</v>
      </c>
      <c r="B9" s="4" t="s">
        <v>615</v>
      </c>
      <c r="C9" s="4" t="s">
        <v>616</v>
      </c>
      <c r="D9" s="4" t="s">
        <v>610</v>
      </c>
      <c r="E9" s="4" t="s">
        <v>617</v>
      </c>
      <c r="F9" s="4" t="s">
        <v>618</v>
      </c>
      <c r="G9" s="4" t="s">
        <v>619</v>
      </c>
      <c r="H9" s="9" t="s">
        <v>53</v>
      </c>
      <c r="I9" s="3" t="s">
        <v>54</v>
      </c>
      <c r="J9" s="4"/>
      <c r="K9" s="3"/>
      <c r="L9" s="4"/>
      <c r="M9" s="3"/>
      <c r="N9" s="3"/>
    </row>
    <row r="10" spans="1:14" ht="48" customHeight="1">
      <c r="A10" s="6" t="s">
        <v>620</v>
      </c>
      <c r="B10" s="7" t="s">
        <v>621</v>
      </c>
      <c r="C10" s="7" t="s">
        <v>622</v>
      </c>
      <c r="D10" s="7" t="s">
        <v>623</v>
      </c>
      <c r="E10" s="7" t="s">
        <v>624</v>
      </c>
      <c r="F10" s="7" t="s">
        <v>625</v>
      </c>
      <c r="G10" s="7" t="s">
        <v>626</v>
      </c>
      <c r="H10" s="8" t="s">
        <v>35</v>
      </c>
      <c r="I10" s="6" t="s">
        <v>54</v>
      </c>
      <c r="J10" s="7"/>
      <c r="K10" s="6"/>
      <c r="L10" s="7"/>
      <c r="M10" s="6"/>
      <c r="N10" s="6"/>
    </row>
    <row r="11" spans="1:14" ht="48" customHeight="1">
      <c r="A11" s="3" t="s">
        <v>627</v>
      </c>
      <c r="B11" s="4" t="s">
        <v>621</v>
      </c>
      <c r="C11" s="4" t="s">
        <v>628</v>
      </c>
      <c r="D11" s="4" t="s">
        <v>629</v>
      </c>
      <c r="E11" s="4" t="s">
        <v>630</v>
      </c>
      <c r="F11" s="4" t="s">
        <v>631</v>
      </c>
      <c r="G11" s="4" t="s">
        <v>632</v>
      </c>
      <c r="H11" s="9" t="s">
        <v>53</v>
      </c>
      <c r="I11" s="3" t="s">
        <v>54</v>
      </c>
      <c r="J11" s="4"/>
      <c r="K11" s="3"/>
      <c r="L11" s="4"/>
      <c r="M11" s="3"/>
      <c r="N11" s="3"/>
    </row>
    <row r="12" spans="1:14" ht="48" customHeight="1">
      <c r="A12" s="6" t="s">
        <v>633</v>
      </c>
      <c r="B12" s="7" t="s">
        <v>634</v>
      </c>
      <c r="C12" s="7" t="s">
        <v>635</v>
      </c>
      <c r="D12" s="7" t="s">
        <v>636</v>
      </c>
      <c r="E12" s="7" t="s">
        <v>637</v>
      </c>
      <c r="F12" s="7" t="s">
        <v>577</v>
      </c>
      <c r="G12" s="7" t="s">
        <v>638</v>
      </c>
      <c r="H12" s="8" t="s">
        <v>35</v>
      </c>
      <c r="I12" s="6" t="s">
        <v>23</v>
      </c>
      <c r="J12" s="7"/>
      <c r="K12" s="6"/>
      <c r="L12" s="7"/>
      <c r="M12" s="6"/>
      <c r="N12" s="6"/>
    </row>
    <row r="13" spans="1:14" ht="48" customHeight="1">
      <c r="A13" s="3" t="s">
        <v>639</v>
      </c>
      <c r="B13" s="4" t="s">
        <v>640</v>
      </c>
      <c r="C13" s="4" t="s">
        <v>641</v>
      </c>
      <c r="D13" s="4" t="s">
        <v>642</v>
      </c>
      <c r="E13" s="4" t="s">
        <v>643</v>
      </c>
      <c r="F13" s="4" t="s">
        <v>644</v>
      </c>
      <c r="G13" s="4" t="s">
        <v>645</v>
      </c>
      <c r="H13" s="9" t="s">
        <v>53</v>
      </c>
      <c r="I13" s="3" t="s">
        <v>98</v>
      </c>
      <c r="J13" s="4"/>
      <c r="K13" s="3"/>
      <c r="L13" s="4"/>
      <c r="M13" s="3"/>
      <c r="N13" s="3"/>
    </row>
    <row r="14" spans="1:14" ht="48" customHeight="1">
      <c r="A14" s="6" t="s">
        <v>646</v>
      </c>
      <c r="B14" s="7" t="s">
        <v>647</v>
      </c>
      <c r="C14" s="7" t="s">
        <v>648</v>
      </c>
      <c r="D14" s="7" t="s">
        <v>649</v>
      </c>
      <c r="E14" s="7" t="s">
        <v>650</v>
      </c>
      <c r="F14" s="7" t="s">
        <v>651</v>
      </c>
      <c r="G14" s="7" t="s">
        <v>652</v>
      </c>
      <c r="H14" s="9" t="s">
        <v>53</v>
      </c>
      <c r="I14" s="6" t="s">
        <v>54</v>
      </c>
      <c r="J14" s="7"/>
      <c r="K14" s="6"/>
      <c r="L14" s="7"/>
      <c r="M14" s="6"/>
      <c r="N14" s="6"/>
    </row>
  </sheetData>
  <mergeCells count="1">
    <mergeCell ref="A1:N1"/>
  </mergeCells>
  <dataValidations count="1">
    <dataValidation type="list" allowBlank="1" showInputMessage="1" showErrorMessage="1" promptTitle="Trạng thái Test" prompt="Chọn: Pass, Fail, Blocked hoặc Untested" sqref="K3:K14">
      <formula1>"Pass,Fail,Blocked,Untested"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C3AED"/>
  </sheetPr>
  <dimension ref="A1:N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30.7109375" customWidth="1"/>
    <col min="4" max="4" width="25.7109375" customWidth="1"/>
    <col min="5" max="5" width="34.7109375" customWidth="1"/>
    <col min="6" max="6" width="24.7109375" customWidth="1"/>
    <col min="7" max="7" width="34.7109375" customWidth="1"/>
    <col min="8" max="8" width="12.7109375" customWidth="1"/>
    <col min="9" max="9" width="10.7109375" customWidth="1"/>
    <col min="10" max="10" width="26.7109375" customWidth="1"/>
    <col min="11" max="11" width="12.7109375" customWidth="1"/>
    <col min="12" max="12" width="22.7109375" customWidth="1"/>
    <col min="13" max="13" width="14.7109375" customWidth="1"/>
    <col min="14" max="14" width="13.7109375" customWidth="1"/>
  </cols>
  <sheetData>
    <row r="1" spans="1:14" ht="32" customHeight="1">
      <c r="A1" s="1" t="s">
        <v>653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48" customHeight="1">
      <c r="A3" s="3" t="s">
        <v>654</v>
      </c>
      <c r="B3" s="4" t="s">
        <v>655</v>
      </c>
      <c r="C3" s="4" t="s">
        <v>656</v>
      </c>
      <c r="D3" s="4" t="s">
        <v>657</v>
      </c>
      <c r="E3" s="4" t="s">
        <v>658</v>
      </c>
      <c r="F3" s="4" t="s">
        <v>577</v>
      </c>
      <c r="G3" s="4" t="s">
        <v>659</v>
      </c>
      <c r="H3" s="8" t="s">
        <v>35</v>
      </c>
      <c r="I3" s="3" t="s">
        <v>23</v>
      </c>
      <c r="J3" s="4"/>
      <c r="K3" s="3"/>
      <c r="L3" s="4"/>
      <c r="M3" s="3"/>
      <c r="N3" s="3"/>
    </row>
    <row r="4" spans="1:14" ht="48" customHeight="1">
      <c r="A4" s="6" t="s">
        <v>660</v>
      </c>
      <c r="B4" s="7" t="s">
        <v>661</v>
      </c>
      <c r="C4" s="7" t="s">
        <v>662</v>
      </c>
      <c r="D4" s="7" t="s">
        <v>663</v>
      </c>
      <c r="E4" s="7" t="s">
        <v>664</v>
      </c>
      <c r="F4" s="7" t="s">
        <v>665</v>
      </c>
      <c r="G4" s="7" t="s">
        <v>666</v>
      </c>
      <c r="H4" s="8" t="s">
        <v>35</v>
      </c>
      <c r="I4" s="6" t="s">
        <v>23</v>
      </c>
      <c r="J4" s="7"/>
      <c r="K4" s="6"/>
      <c r="L4" s="7"/>
      <c r="M4" s="6"/>
      <c r="N4" s="6"/>
    </row>
    <row r="5" spans="1:14" ht="48" customHeight="1">
      <c r="A5" s="3" t="s">
        <v>667</v>
      </c>
      <c r="B5" s="4" t="s">
        <v>668</v>
      </c>
      <c r="C5" s="4" t="s">
        <v>669</v>
      </c>
      <c r="D5" s="4" t="s">
        <v>670</v>
      </c>
      <c r="E5" s="4" t="s">
        <v>671</v>
      </c>
      <c r="F5" s="4" t="s">
        <v>672</v>
      </c>
      <c r="G5" s="4" t="s">
        <v>673</v>
      </c>
      <c r="H5" s="8" t="s">
        <v>35</v>
      </c>
      <c r="I5" s="3" t="s">
        <v>23</v>
      </c>
      <c r="J5" s="4"/>
      <c r="K5" s="3"/>
      <c r="L5" s="4"/>
      <c r="M5" s="3"/>
      <c r="N5" s="3"/>
    </row>
    <row r="6" spans="1:14" ht="48" customHeight="1">
      <c r="A6" s="6" t="s">
        <v>674</v>
      </c>
      <c r="B6" s="7" t="s">
        <v>675</v>
      </c>
      <c r="C6" s="7" t="s">
        <v>676</v>
      </c>
      <c r="D6" s="7" t="s">
        <v>677</v>
      </c>
      <c r="E6" s="7" t="s">
        <v>678</v>
      </c>
      <c r="F6" s="7" t="s">
        <v>679</v>
      </c>
      <c r="G6" s="7" t="s">
        <v>680</v>
      </c>
      <c r="H6" s="8" t="s">
        <v>35</v>
      </c>
      <c r="I6" s="6" t="s">
        <v>54</v>
      </c>
      <c r="J6" s="7"/>
      <c r="K6" s="6"/>
      <c r="L6" s="7"/>
      <c r="M6" s="6"/>
      <c r="N6" s="6"/>
    </row>
    <row r="7" spans="1:14" ht="48" customHeight="1">
      <c r="A7" s="3" t="s">
        <v>681</v>
      </c>
      <c r="B7" s="4" t="s">
        <v>682</v>
      </c>
      <c r="C7" s="4" t="s">
        <v>683</v>
      </c>
      <c r="D7" s="4" t="s">
        <v>684</v>
      </c>
      <c r="E7" s="4" t="s">
        <v>685</v>
      </c>
      <c r="F7" s="4" t="s">
        <v>686</v>
      </c>
      <c r="G7" s="4" t="s">
        <v>687</v>
      </c>
      <c r="H7" s="8" t="s">
        <v>35</v>
      </c>
      <c r="I7" s="3" t="s">
        <v>54</v>
      </c>
      <c r="J7" s="4"/>
      <c r="K7" s="3"/>
      <c r="L7" s="4"/>
      <c r="M7" s="3"/>
      <c r="N7" s="3"/>
    </row>
    <row r="8" spans="1:14" ht="48" customHeight="1">
      <c r="A8" s="6" t="s">
        <v>688</v>
      </c>
      <c r="B8" s="7" t="s">
        <v>689</v>
      </c>
      <c r="C8" s="7" t="s">
        <v>690</v>
      </c>
      <c r="D8" s="7" t="s">
        <v>691</v>
      </c>
      <c r="E8" s="7" t="s">
        <v>692</v>
      </c>
      <c r="F8" s="7" t="s">
        <v>693</v>
      </c>
      <c r="G8" s="7" t="s">
        <v>694</v>
      </c>
      <c r="H8" s="5" t="s">
        <v>22</v>
      </c>
      <c r="I8" s="6" t="s">
        <v>23</v>
      </c>
      <c r="J8" s="7"/>
      <c r="K8" s="6"/>
      <c r="L8" s="7"/>
      <c r="M8" s="6"/>
      <c r="N8" s="6"/>
    </row>
    <row r="9" spans="1:14" ht="48" customHeight="1">
      <c r="A9" s="3" t="s">
        <v>695</v>
      </c>
      <c r="B9" s="4" t="s">
        <v>696</v>
      </c>
      <c r="C9" s="4" t="s">
        <v>697</v>
      </c>
      <c r="D9" s="4" t="s">
        <v>698</v>
      </c>
      <c r="E9" s="4" t="s">
        <v>699</v>
      </c>
      <c r="F9" s="4" t="s">
        <v>700</v>
      </c>
      <c r="G9" s="4" t="s">
        <v>701</v>
      </c>
      <c r="H9" s="8" t="s">
        <v>35</v>
      </c>
      <c r="I9" s="3" t="s">
        <v>23</v>
      </c>
      <c r="J9" s="4"/>
      <c r="K9" s="3"/>
      <c r="L9" s="4"/>
      <c r="M9" s="3"/>
      <c r="N9" s="3"/>
    </row>
    <row r="10" spans="1:14" ht="48" customHeight="1">
      <c r="A10" s="6" t="s">
        <v>702</v>
      </c>
      <c r="B10" s="7" t="s">
        <v>696</v>
      </c>
      <c r="C10" s="7" t="s">
        <v>703</v>
      </c>
      <c r="D10" s="7" t="s">
        <v>704</v>
      </c>
      <c r="E10" s="7" t="s">
        <v>705</v>
      </c>
      <c r="F10" s="7" t="s">
        <v>706</v>
      </c>
      <c r="G10" s="7" t="s">
        <v>707</v>
      </c>
      <c r="H10" s="9" t="s">
        <v>53</v>
      </c>
      <c r="I10" s="6" t="s">
        <v>54</v>
      </c>
      <c r="J10" s="7"/>
      <c r="K10" s="6"/>
      <c r="L10" s="7"/>
      <c r="M10" s="6"/>
      <c r="N10" s="6"/>
    </row>
    <row r="11" spans="1:14" ht="48" customHeight="1">
      <c r="A11" s="3" t="s">
        <v>708</v>
      </c>
      <c r="B11" s="4" t="s">
        <v>709</v>
      </c>
      <c r="C11" s="4" t="s">
        <v>710</v>
      </c>
      <c r="D11" s="4" t="s">
        <v>711</v>
      </c>
      <c r="E11" s="4" t="s">
        <v>712</v>
      </c>
      <c r="F11" s="4" t="s">
        <v>713</v>
      </c>
      <c r="G11" s="4" t="s">
        <v>714</v>
      </c>
      <c r="H11" s="8" t="s">
        <v>35</v>
      </c>
      <c r="I11" s="3" t="s">
        <v>23</v>
      </c>
      <c r="J11" s="4"/>
      <c r="K11" s="3"/>
      <c r="L11" s="4"/>
      <c r="M11" s="3"/>
      <c r="N11" s="3"/>
    </row>
    <row r="12" spans="1:14" ht="48" customHeight="1">
      <c r="A12" s="6" t="s">
        <v>715</v>
      </c>
      <c r="B12" s="7" t="s">
        <v>716</v>
      </c>
      <c r="C12" s="7" t="s">
        <v>717</v>
      </c>
      <c r="D12" s="7" t="s">
        <v>718</v>
      </c>
      <c r="E12" s="7" t="s">
        <v>719</v>
      </c>
      <c r="F12" s="7" t="s">
        <v>720</v>
      </c>
      <c r="G12" s="7" t="s">
        <v>721</v>
      </c>
      <c r="H12" s="8" t="s">
        <v>35</v>
      </c>
      <c r="I12" s="6" t="s">
        <v>23</v>
      </c>
      <c r="J12" s="7"/>
      <c r="K12" s="6"/>
      <c r="L12" s="7"/>
      <c r="M12" s="6"/>
      <c r="N12" s="6"/>
    </row>
    <row r="13" spans="1:14" ht="48" customHeight="1">
      <c r="A13" s="3" t="s">
        <v>722</v>
      </c>
      <c r="B13" s="4" t="s">
        <v>723</v>
      </c>
      <c r="C13" s="4" t="s">
        <v>724</v>
      </c>
      <c r="D13" s="4" t="s">
        <v>725</v>
      </c>
      <c r="E13" s="4" t="s">
        <v>726</v>
      </c>
      <c r="F13" s="4" t="s">
        <v>727</v>
      </c>
      <c r="G13" s="4" t="s">
        <v>728</v>
      </c>
      <c r="H13" s="8" t="s">
        <v>35</v>
      </c>
      <c r="I13" s="3" t="s">
        <v>23</v>
      </c>
      <c r="J13" s="4"/>
      <c r="K13" s="3"/>
      <c r="L13" s="4"/>
      <c r="M13" s="3"/>
      <c r="N13" s="3"/>
    </row>
    <row r="14" spans="1:14" ht="48" customHeight="1">
      <c r="A14" s="6" t="s">
        <v>729</v>
      </c>
      <c r="B14" s="7" t="s">
        <v>730</v>
      </c>
      <c r="C14" s="7" t="s">
        <v>731</v>
      </c>
      <c r="D14" s="7" t="s">
        <v>732</v>
      </c>
      <c r="E14" s="7" t="s">
        <v>733</v>
      </c>
      <c r="F14" s="7" t="s">
        <v>734</v>
      </c>
      <c r="G14" s="7" t="s">
        <v>735</v>
      </c>
      <c r="H14" s="8" t="s">
        <v>35</v>
      </c>
      <c r="I14" s="6" t="s">
        <v>54</v>
      </c>
      <c r="J14" s="7"/>
      <c r="K14" s="6"/>
      <c r="L14" s="7"/>
      <c r="M14" s="6"/>
      <c r="N14" s="6"/>
    </row>
    <row r="15" spans="1:14" ht="48" customHeight="1">
      <c r="A15" s="3" t="s">
        <v>736</v>
      </c>
      <c r="B15" s="4" t="s">
        <v>730</v>
      </c>
      <c r="C15" s="4" t="s">
        <v>737</v>
      </c>
      <c r="D15" s="4" t="s">
        <v>738</v>
      </c>
      <c r="E15" s="4" t="s">
        <v>739</v>
      </c>
      <c r="F15" s="4" t="s">
        <v>740</v>
      </c>
      <c r="G15" s="4" t="s">
        <v>741</v>
      </c>
      <c r="H15" s="8" t="s">
        <v>35</v>
      </c>
      <c r="I15" s="3" t="s">
        <v>54</v>
      </c>
      <c r="J15" s="4"/>
      <c r="K15" s="3"/>
      <c r="L15" s="4"/>
      <c r="M15" s="3"/>
      <c r="N15" s="3"/>
    </row>
    <row r="16" spans="1:14" ht="48" customHeight="1">
      <c r="A16" s="6" t="s">
        <v>742</v>
      </c>
      <c r="B16" s="7" t="s">
        <v>730</v>
      </c>
      <c r="C16" s="7" t="s">
        <v>743</v>
      </c>
      <c r="D16" s="7" t="s">
        <v>744</v>
      </c>
      <c r="E16" s="7" t="s">
        <v>745</v>
      </c>
      <c r="F16" s="7" t="s">
        <v>746</v>
      </c>
      <c r="G16" s="7" t="s">
        <v>747</v>
      </c>
      <c r="H16" s="8" t="s">
        <v>35</v>
      </c>
      <c r="I16" s="6" t="s">
        <v>23</v>
      </c>
      <c r="J16" s="7"/>
      <c r="K16" s="6"/>
      <c r="L16" s="7"/>
      <c r="M16" s="6"/>
      <c r="N16" s="6"/>
    </row>
    <row r="17" spans="1:14" ht="48" customHeight="1">
      <c r="A17" s="3" t="s">
        <v>748</v>
      </c>
      <c r="B17" s="4" t="s">
        <v>730</v>
      </c>
      <c r="C17" s="4" t="s">
        <v>749</v>
      </c>
      <c r="D17" s="4" t="s">
        <v>750</v>
      </c>
      <c r="E17" s="4" t="s">
        <v>751</v>
      </c>
      <c r="F17" s="4" t="s">
        <v>752</v>
      </c>
      <c r="G17" s="4" t="s">
        <v>753</v>
      </c>
      <c r="H17" s="5" t="s">
        <v>22</v>
      </c>
      <c r="I17" s="3" t="s">
        <v>23</v>
      </c>
      <c r="J17" s="4"/>
      <c r="K17" s="3"/>
      <c r="L17" s="4"/>
      <c r="M17" s="3"/>
      <c r="N17" s="3"/>
    </row>
    <row r="18" spans="1:14" ht="48" customHeight="1">
      <c r="A18" s="6" t="s">
        <v>754</v>
      </c>
      <c r="B18" s="7" t="s">
        <v>730</v>
      </c>
      <c r="C18" s="7" t="s">
        <v>755</v>
      </c>
      <c r="D18" s="7" t="s">
        <v>756</v>
      </c>
      <c r="E18" s="7" t="s">
        <v>757</v>
      </c>
      <c r="F18" s="7" t="s">
        <v>758</v>
      </c>
      <c r="G18" s="7" t="s">
        <v>759</v>
      </c>
      <c r="H18" s="8" t="s">
        <v>35</v>
      </c>
      <c r="I18" s="6" t="s">
        <v>23</v>
      </c>
      <c r="J18" s="7"/>
      <c r="K18" s="6"/>
      <c r="L18" s="7"/>
      <c r="M18" s="6"/>
      <c r="N18" s="6"/>
    </row>
    <row r="19" spans="1:14" ht="48" customHeight="1">
      <c r="A19" s="3" t="s">
        <v>760</v>
      </c>
      <c r="B19" s="4" t="s">
        <v>730</v>
      </c>
      <c r="C19" s="4" t="s">
        <v>761</v>
      </c>
      <c r="D19" s="4" t="s">
        <v>762</v>
      </c>
      <c r="E19" s="4" t="s">
        <v>763</v>
      </c>
      <c r="F19" s="4" t="s">
        <v>764</v>
      </c>
      <c r="G19" s="4" t="s">
        <v>765</v>
      </c>
      <c r="H19" s="9" t="s">
        <v>53</v>
      </c>
      <c r="I19" s="3" t="s">
        <v>54</v>
      </c>
      <c r="J19" s="4"/>
      <c r="K19" s="3"/>
      <c r="L19" s="4"/>
      <c r="M19" s="3"/>
      <c r="N19" s="3"/>
    </row>
    <row r="20" spans="1:14" ht="48" customHeight="1">
      <c r="A20" s="6" t="s">
        <v>766</v>
      </c>
      <c r="B20" s="7" t="s">
        <v>767</v>
      </c>
      <c r="C20" s="7" t="s">
        <v>768</v>
      </c>
      <c r="D20" s="7" t="s">
        <v>769</v>
      </c>
      <c r="E20" s="7" t="s">
        <v>770</v>
      </c>
      <c r="F20" s="7" t="s">
        <v>771</v>
      </c>
      <c r="G20" s="7" t="s">
        <v>772</v>
      </c>
      <c r="H20" s="9" t="s">
        <v>53</v>
      </c>
      <c r="I20" s="6" t="s">
        <v>98</v>
      </c>
      <c r="J20" s="7"/>
      <c r="K20" s="6"/>
      <c r="L20" s="7"/>
      <c r="M20" s="6"/>
      <c r="N20" s="6"/>
    </row>
  </sheetData>
  <mergeCells count="1">
    <mergeCell ref="A1:N1"/>
  </mergeCells>
  <dataValidations count="1">
    <dataValidation type="list" allowBlank="1" showInputMessage="1" showErrorMessage="1" promptTitle="Trạng thái Test" prompt="Chọn: Pass, Fail, Blocked hoặc Untested" sqref="K3:K20">
      <formula1>"Pass,Fail,Blocked,Untested"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34155"/>
  </sheetPr>
  <dimension ref="A1:N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30.7109375" customWidth="1"/>
    <col min="4" max="4" width="25.7109375" customWidth="1"/>
    <col min="5" max="5" width="34.7109375" customWidth="1"/>
    <col min="6" max="6" width="24.7109375" customWidth="1"/>
    <col min="7" max="7" width="34.7109375" customWidth="1"/>
    <col min="8" max="8" width="12.7109375" customWidth="1"/>
    <col min="9" max="9" width="10.7109375" customWidth="1"/>
    <col min="10" max="10" width="26.7109375" customWidth="1"/>
    <col min="11" max="11" width="12.7109375" customWidth="1"/>
    <col min="12" max="12" width="22.7109375" customWidth="1"/>
    <col min="13" max="13" width="14.7109375" customWidth="1"/>
    <col min="14" max="14" width="13.7109375" customWidth="1"/>
  </cols>
  <sheetData>
    <row r="1" spans="1:14" ht="32" customHeight="1">
      <c r="A1" s="1" t="s">
        <v>773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48" customHeight="1">
      <c r="A3" s="3" t="s">
        <v>774</v>
      </c>
      <c r="B3" s="4" t="s">
        <v>775</v>
      </c>
      <c r="C3" s="4" t="s">
        <v>776</v>
      </c>
      <c r="D3" s="4" t="s">
        <v>777</v>
      </c>
      <c r="E3" s="4" t="s">
        <v>778</v>
      </c>
      <c r="F3" s="4" t="s">
        <v>779</v>
      </c>
      <c r="G3" s="4" t="s">
        <v>780</v>
      </c>
      <c r="H3" s="5" t="s">
        <v>22</v>
      </c>
      <c r="I3" s="3" t="s">
        <v>23</v>
      </c>
      <c r="J3" s="4"/>
      <c r="K3" s="3"/>
      <c r="L3" s="4"/>
      <c r="M3" s="3"/>
      <c r="N3" s="3"/>
    </row>
    <row r="4" spans="1:14" ht="48" customHeight="1">
      <c r="A4" s="6" t="s">
        <v>781</v>
      </c>
      <c r="B4" s="7" t="s">
        <v>782</v>
      </c>
      <c r="C4" s="7" t="s">
        <v>783</v>
      </c>
      <c r="D4" s="7" t="s">
        <v>784</v>
      </c>
      <c r="E4" s="7" t="s">
        <v>785</v>
      </c>
      <c r="F4" s="7" t="s">
        <v>786</v>
      </c>
      <c r="G4" s="7" t="s">
        <v>787</v>
      </c>
      <c r="H4" s="5" t="s">
        <v>22</v>
      </c>
      <c r="I4" s="6" t="s">
        <v>23</v>
      </c>
      <c r="J4" s="7"/>
      <c r="K4" s="6"/>
      <c r="L4" s="7"/>
      <c r="M4" s="6"/>
      <c r="N4" s="6"/>
    </row>
    <row r="5" spans="1:14" ht="48" customHeight="1">
      <c r="A5" s="3" t="s">
        <v>788</v>
      </c>
      <c r="B5" s="4" t="s">
        <v>789</v>
      </c>
      <c r="C5" s="4" t="s">
        <v>790</v>
      </c>
      <c r="D5" s="4" t="s">
        <v>791</v>
      </c>
      <c r="E5" s="4" t="s">
        <v>792</v>
      </c>
      <c r="F5" s="4" t="s">
        <v>793</v>
      </c>
      <c r="G5" s="4" t="s">
        <v>794</v>
      </c>
      <c r="H5" s="5" t="s">
        <v>22</v>
      </c>
      <c r="I5" s="3" t="s">
        <v>23</v>
      </c>
      <c r="J5" s="4"/>
      <c r="K5" s="3"/>
      <c r="L5" s="4"/>
      <c r="M5" s="3"/>
      <c r="N5" s="3"/>
    </row>
    <row r="6" spans="1:14" ht="48" customHeight="1">
      <c r="A6" s="6" t="s">
        <v>795</v>
      </c>
      <c r="B6" s="7" t="s">
        <v>789</v>
      </c>
      <c r="C6" s="7" t="s">
        <v>796</v>
      </c>
      <c r="D6" s="7" t="s">
        <v>797</v>
      </c>
      <c r="E6" s="7" t="s">
        <v>798</v>
      </c>
      <c r="F6" s="7" t="s">
        <v>799</v>
      </c>
      <c r="G6" s="7" t="s">
        <v>800</v>
      </c>
      <c r="H6" s="5" t="s">
        <v>22</v>
      </c>
      <c r="I6" s="6" t="s">
        <v>23</v>
      </c>
      <c r="J6" s="7"/>
      <c r="K6" s="6"/>
      <c r="L6" s="7"/>
      <c r="M6" s="6"/>
      <c r="N6" s="6"/>
    </row>
    <row r="7" spans="1:14" ht="48" customHeight="1">
      <c r="A7" s="3" t="s">
        <v>801</v>
      </c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 t="s">
        <v>807</v>
      </c>
      <c r="H7" s="8" t="s">
        <v>35</v>
      </c>
      <c r="I7" s="3" t="s">
        <v>23</v>
      </c>
      <c r="J7" s="4"/>
      <c r="K7" s="3"/>
      <c r="L7" s="4"/>
      <c r="M7" s="3"/>
      <c r="N7" s="3"/>
    </row>
    <row r="8" spans="1:14" ht="48" customHeight="1">
      <c r="A8" s="6" t="s">
        <v>808</v>
      </c>
      <c r="B8" s="7" t="s">
        <v>809</v>
      </c>
      <c r="C8" s="7" t="s">
        <v>810</v>
      </c>
      <c r="D8" s="7" t="s">
        <v>811</v>
      </c>
      <c r="E8" s="7" t="s">
        <v>812</v>
      </c>
      <c r="F8" s="7" t="s">
        <v>813</v>
      </c>
      <c r="G8" s="7" t="s">
        <v>814</v>
      </c>
      <c r="H8" s="9" t="s">
        <v>53</v>
      </c>
      <c r="I8" s="6" t="s">
        <v>54</v>
      </c>
      <c r="J8" s="7"/>
      <c r="K8" s="6"/>
      <c r="L8" s="7"/>
      <c r="M8" s="6"/>
      <c r="N8" s="6"/>
    </row>
    <row r="9" spans="1:14" ht="48" customHeight="1">
      <c r="A9" s="3" t="s">
        <v>815</v>
      </c>
      <c r="B9" s="4" t="s">
        <v>816</v>
      </c>
      <c r="C9" s="4" t="s">
        <v>817</v>
      </c>
      <c r="D9" s="4" t="s">
        <v>818</v>
      </c>
      <c r="E9" s="4" t="s">
        <v>819</v>
      </c>
      <c r="F9" s="4" t="s">
        <v>820</v>
      </c>
      <c r="G9" s="4" t="s">
        <v>821</v>
      </c>
      <c r="H9" s="9" t="s">
        <v>53</v>
      </c>
      <c r="I9" s="3" t="s">
        <v>54</v>
      </c>
      <c r="J9" s="4"/>
      <c r="K9" s="3"/>
      <c r="L9" s="4"/>
      <c r="M9" s="3"/>
      <c r="N9" s="3"/>
    </row>
    <row r="10" spans="1:14" ht="48" customHeight="1">
      <c r="A10" s="6" t="s">
        <v>822</v>
      </c>
      <c r="B10" s="7" t="s">
        <v>823</v>
      </c>
      <c r="C10" s="7" t="s">
        <v>824</v>
      </c>
      <c r="D10" s="7" t="s">
        <v>825</v>
      </c>
      <c r="E10" s="7" t="s">
        <v>826</v>
      </c>
      <c r="F10" s="7" t="s">
        <v>827</v>
      </c>
      <c r="G10" s="7" t="s">
        <v>828</v>
      </c>
      <c r="H10" s="8" t="s">
        <v>35</v>
      </c>
      <c r="I10" s="6" t="s">
        <v>54</v>
      </c>
      <c r="J10" s="7"/>
      <c r="K10" s="6"/>
      <c r="L10" s="7"/>
      <c r="M10" s="6"/>
      <c r="N10" s="6"/>
    </row>
    <row r="11" spans="1:14" ht="48" customHeight="1">
      <c r="A11" s="3" t="s">
        <v>829</v>
      </c>
      <c r="B11" s="4" t="s">
        <v>830</v>
      </c>
      <c r="C11" s="4" t="s">
        <v>831</v>
      </c>
      <c r="D11" s="4" t="s">
        <v>832</v>
      </c>
      <c r="E11" s="4" t="s">
        <v>833</v>
      </c>
      <c r="F11" s="4" t="s">
        <v>834</v>
      </c>
      <c r="G11" s="4" t="s">
        <v>835</v>
      </c>
      <c r="H11" s="10" t="s">
        <v>97</v>
      </c>
      <c r="I11" s="3" t="s">
        <v>98</v>
      </c>
      <c r="J11" s="4"/>
      <c r="K11" s="3"/>
      <c r="L11" s="4"/>
      <c r="M11" s="3"/>
      <c r="N11" s="3"/>
    </row>
    <row r="12" spans="1:14" ht="48" customHeight="1">
      <c r="A12" s="6" t="s">
        <v>836</v>
      </c>
      <c r="B12" s="7" t="s">
        <v>837</v>
      </c>
      <c r="C12" s="7" t="s">
        <v>838</v>
      </c>
      <c r="D12" s="7" t="s">
        <v>839</v>
      </c>
      <c r="E12" s="7" t="s">
        <v>840</v>
      </c>
      <c r="F12" s="7" t="s">
        <v>841</v>
      </c>
      <c r="G12" s="7" t="s">
        <v>842</v>
      </c>
      <c r="H12" s="8" t="s">
        <v>35</v>
      </c>
      <c r="I12" s="6" t="s">
        <v>54</v>
      </c>
      <c r="J12" s="7"/>
      <c r="K12" s="6"/>
      <c r="L12" s="7"/>
      <c r="M12" s="6"/>
      <c r="N12" s="6"/>
    </row>
    <row r="13" spans="1:14" ht="48" customHeight="1">
      <c r="A13" s="3" t="s">
        <v>843</v>
      </c>
      <c r="B13" s="4" t="s">
        <v>844</v>
      </c>
      <c r="C13" s="4" t="s">
        <v>845</v>
      </c>
      <c r="D13" s="4" t="s">
        <v>846</v>
      </c>
      <c r="E13" s="4" t="s">
        <v>847</v>
      </c>
      <c r="F13" s="4" t="s">
        <v>848</v>
      </c>
      <c r="G13" s="4" t="s">
        <v>849</v>
      </c>
      <c r="H13" s="8" t="s">
        <v>35</v>
      </c>
      <c r="I13" s="3" t="s">
        <v>23</v>
      </c>
      <c r="J13" s="4"/>
      <c r="K13" s="3"/>
      <c r="L13" s="4"/>
      <c r="M13" s="3"/>
      <c r="N13" s="3"/>
    </row>
    <row r="14" spans="1:14" ht="48" customHeight="1">
      <c r="A14" s="6" t="s">
        <v>850</v>
      </c>
      <c r="B14" s="7" t="s">
        <v>851</v>
      </c>
      <c r="C14" s="7" t="s">
        <v>852</v>
      </c>
      <c r="D14" s="7" t="s">
        <v>853</v>
      </c>
      <c r="E14" s="7" t="s">
        <v>854</v>
      </c>
      <c r="F14" s="7" t="s">
        <v>855</v>
      </c>
      <c r="G14" s="7" t="s">
        <v>856</v>
      </c>
      <c r="H14" s="5" t="s">
        <v>22</v>
      </c>
      <c r="I14" s="6" t="s">
        <v>23</v>
      </c>
      <c r="J14" s="7"/>
      <c r="K14" s="6"/>
      <c r="L14" s="7"/>
      <c r="M14" s="6"/>
      <c r="N14" s="6"/>
    </row>
  </sheetData>
  <mergeCells count="1">
    <mergeCell ref="A1:N1"/>
  </mergeCells>
  <dataValidations count="1">
    <dataValidation type="list" allowBlank="1" showInputMessage="1" showErrorMessage="1" promptTitle="Trạng thái Test" prompt="Chọn: Pass, Fail, Blocked hoặc Untested" sqref="K3:K14">
      <formula1>"Pass,Fail,Blocked,Untested"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E3A5F"/>
  </sheetPr>
  <dimension ref="B2:I30"/>
  <sheetViews>
    <sheetView workbookViewId="0"/>
  </sheetViews>
  <sheetFormatPr defaultRowHeight="15"/>
  <cols>
    <col min="1" max="1" width="4.7109375" customWidth="1"/>
    <col min="2" max="2" width="28.7109375" customWidth="1"/>
    <col min="3" max="3" width="38.7109375" customWidth="1"/>
    <col min="4" max="7" width="15.7109375" customWidth="1"/>
    <col min="8" max="8" width="18.7109375" customWidth="1"/>
  </cols>
  <sheetData>
    <row r="2" spans="2:8" ht="35" customHeight="1">
      <c r="B2" s="1" t="s">
        <v>857</v>
      </c>
      <c r="C2" s="1"/>
      <c r="D2" s="1"/>
      <c r="E2" s="1"/>
      <c r="F2" s="1"/>
      <c r="G2" s="1"/>
      <c r="H2" s="1"/>
    </row>
    <row r="3" spans="2:8" ht="20" customHeight="1">
      <c r="B3" s="11" t="s">
        <v>858</v>
      </c>
      <c r="C3" s="11"/>
      <c r="D3" s="11"/>
      <c r="E3" s="11"/>
      <c r="F3" s="11"/>
      <c r="G3" s="11"/>
      <c r="H3" s="11"/>
    </row>
    <row r="5" spans="2:8">
      <c r="B5" s="12" t="s">
        <v>859</v>
      </c>
      <c r="C5" s="12"/>
    </row>
    <row r="6" spans="2:8">
      <c r="B6" s="13" t="s">
        <v>860</v>
      </c>
      <c r="C6" s="14" t="s">
        <v>861</v>
      </c>
    </row>
    <row r="7" spans="2:8">
      <c r="B7" s="13" t="s">
        <v>862</v>
      </c>
      <c r="C7" s="14" t="s">
        <v>863</v>
      </c>
    </row>
    <row r="8" spans="2:8">
      <c r="B8" s="13" t="s">
        <v>864</v>
      </c>
      <c r="C8" s="14" t="s">
        <v>865</v>
      </c>
    </row>
    <row r="9" spans="2:8">
      <c r="B9" s="13" t="s">
        <v>866</v>
      </c>
      <c r="C9" s="14" t="s">
        <v>867</v>
      </c>
    </row>
    <row r="10" spans="2:8">
      <c r="B10" s="13" t="s">
        <v>868</v>
      </c>
      <c r="C10" s="14" t="s">
        <v>869</v>
      </c>
    </row>
    <row r="11" spans="2:8">
      <c r="B11" s="13" t="s">
        <v>870</v>
      </c>
      <c r="C11" s="14" t="s">
        <v>871</v>
      </c>
    </row>
    <row r="12" spans="2:8">
      <c r="B12" s="13" t="s">
        <v>872</v>
      </c>
      <c r="C12" s="14" t="s">
        <v>873</v>
      </c>
    </row>
    <row r="13" spans="2:8">
      <c r="B13" s="13" t="s">
        <v>874</v>
      </c>
      <c r="C13" s="14" t="s">
        <v>875</v>
      </c>
    </row>
    <row r="15" spans="2:8">
      <c r="B15" s="12" t="s">
        <v>876</v>
      </c>
      <c r="C15" s="12"/>
      <c r="D15" s="12"/>
      <c r="E15" s="12"/>
      <c r="F15" s="12"/>
      <c r="G15" s="12"/>
      <c r="H15" s="12"/>
    </row>
    <row r="17" spans="2:9">
      <c r="B17" s="2" t="s">
        <v>877</v>
      </c>
      <c r="C17" s="2" t="s">
        <v>878</v>
      </c>
      <c r="D17" s="2" t="s">
        <v>879</v>
      </c>
      <c r="E17" s="2" t="s">
        <v>880</v>
      </c>
      <c r="F17" s="2" t="s">
        <v>881</v>
      </c>
      <c r="G17" s="2" t="s">
        <v>882</v>
      </c>
      <c r="H17" s="2" t="s">
        <v>883</v>
      </c>
      <c r="I17" s="2" t="s">
        <v>884</v>
      </c>
    </row>
    <row r="18" spans="2:9">
      <c r="B18" s="3" t="s">
        <v>885</v>
      </c>
      <c r="C18" s="4" t="s">
        <v>886</v>
      </c>
      <c r="D18" s="15">
        <v>25</v>
      </c>
      <c r="E18" s="3">
        <f>COUNTIF('2. Xác thực &amp; Hệ thống'!K3:K27, "Pass")</f>
        <v>0</v>
      </c>
      <c r="F18" s="3">
        <f>COUNTIF('2. Xác thực &amp; Hệ thống'!K3:K27, "Fail")</f>
        <v>0</v>
      </c>
      <c r="G18" s="3">
        <f>COUNTIF('2. Xác thực &amp; Hệ thống'!K3:K27, "Blocked")</f>
        <v>0</v>
      </c>
      <c r="H18" s="3">
        <f>D18-E18-F18-G18</f>
        <v>0</v>
      </c>
      <c r="I18" s="16">
        <f>IF(D18&gt;0, E18/D18, 0)</f>
        <v>0</v>
      </c>
    </row>
    <row r="19" spans="2:9">
      <c r="B19" s="3" t="s">
        <v>887</v>
      </c>
      <c r="C19" s="4" t="s">
        <v>888</v>
      </c>
      <c r="D19" s="15">
        <v>38</v>
      </c>
      <c r="E19" s="3">
        <f>COUNTIF('3. Phân hệ Sinh viên'!K3:K40, "Pass")</f>
        <v>0</v>
      </c>
      <c r="F19" s="3">
        <f>COUNTIF('3. Phân hệ Sinh viên'!K3:K40, "Fail")</f>
        <v>0</v>
      </c>
      <c r="G19" s="3">
        <f>COUNTIF('3. Phân hệ Sinh viên'!K3:K40, "Blocked")</f>
        <v>0</v>
      </c>
      <c r="H19" s="3">
        <f>D19-E19-F19-G19</f>
        <v>0</v>
      </c>
      <c r="I19" s="16">
        <f>IF(D19&gt;0, E19/D19, 0)</f>
        <v>0</v>
      </c>
    </row>
    <row r="20" spans="2:9">
      <c r="B20" s="3" t="s">
        <v>889</v>
      </c>
      <c r="C20" s="4" t="s">
        <v>890</v>
      </c>
      <c r="D20" s="15">
        <v>25</v>
      </c>
      <c r="E20" s="3">
        <f>COUNTIF('4. Phân hệ Giảng viên'!K3:K27, "Pass")</f>
        <v>0</v>
      </c>
      <c r="F20" s="3">
        <f>COUNTIF('4. Phân hệ Giảng viên'!K3:K27, "Fail")</f>
        <v>0</v>
      </c>
      <c r="G20" s="3">
        <f>COUNTIF('4. Phân hệ Giảng viên'!K3:K27, "Blocked")</f>
        <v>0</v>
      </c>
      <c r="H20" s="3">
        <f>D20-E20-F20-G20</f>
        <v>0</v>
      </c>
      <c r="I20" s="16">
        <f>IF(D20&gt;0, E20/D20, 0)</f>
        <v>0</v>
      </c>
    </row>
    <row r="21" spans="2:9">
      <c r="B21" s="3" t="s">
        <v>891</v>
      </c>
      <c r="C21" s="4" t="s">
        <v>892</v>
      </c>
      <c r="D21" s="15">
        <v>12</v>
      </c>
      <c r="E21" s="3">
        <f>COUNTIF('5. Giáo vụ &amp; Đào tạo'!K3:K14, "Pass")</f>
        <v>0</v>
      </c>
      <c r="F21" s="3">
        <f>COUNTIF('5. Giáo vụ &amp; Đào tạo'!K3:K14, "Fail")</f>
        <v>0</v>
      </c>
      <c r="G21" s="3">
        <f>COUNTIF('5. Giáo vụ &amp; Đào tạo'!K3:K14, "Blocked")</f>
        <v>0</v>
      </c>
      <c r="H21" s="3">
        <f>D21-E21-F21-G21</f>
        <v>0</v>
      </c>
      <c r="I21" s="16">
        <f>IF(D21&gt;0, E21/D21, 0)</f>
        <v>0</v>
      </c>
    </row>
    <row r="22" spans="2:9">
      <c r="B22" s="3" t="s">
        <v>893</v>
      </c>
      <c r="C22" s="4" t="s">
        <v>894</v>
      </c>
      <c r="D22" s="15">
        <v>18</v>
      </c>
      <c r="E22" s="3">
        <f>COUNTIF('6. Quản trị hệ thống'!K3:K20, "Pass")</f>
        <v>0</v>
      </c>
      <c r="F22" s="3">
        <f>COUNTIF('6. Quản trị hệ thống'!K3:K20, "Fail")</f>
        <v>0</v>
      </c>
      <c r="G22" s="3">
        <f>COUNTIF('6. Quản trị hệ thống'!K3:K20, "Blocked")</f>
        <v>0</v>
      </c>
      <c r="H22" s="3">
        <f>D22-E22-F22-G22</f>
        <v>0</v>
      </c>
      <c r="I22" s="16">
        <f>IF(D22&gt;0, E22/D22, 0)</f>
        <v>0</v>
      </c>
    </row>
    <row r="23" spans="2:9">
      <c r="B23" s="3" t="s">
        <v>895</v>
      </c>
      <c r="C23" s="4" t="s">
        <v>896</v>
      </c>
      <c r="D23" s="15">
        <v>12</v>
      </c>
      <c r="E23" s="3">
        <f>COUNTIF('7. Phi chức năng &amp; Bảo mật'!K3:K14, "Pass")</f>
        <v>0</v>
      </c>
      <c r="F23" s="3">
        <f>COUNTIF('7. Phi chức năng &amp; Bảo mật'!K3:K14, "Fail")</f>
        <v>0</v>
      </c>
      <c r="G23" s="3">
        <f>COUNTIF('7. Phi chức năng &amp; Bảo mật'!K3:K14, "Blocked")</f>
        <v>0</v>
      </c>
      <c r="H23" s="3">
        <f>D23-E23-F23-G23</f>
        <v>0</v>
      </c>
      <c r="I23" s="16">
        <f>IF(D23&gt;0, E23/D23, 0)</f>
        <v>0</v>
      </c>
    </row>
    <row r="24" spans="2:9">
      <c r="B24" s="2" t="s">
        <v>897</v>
      </c>
      <c r="C24" s="2"/>
      <c r="D24" s="2">
        <f>SUM(D18:D23)</f>
        <v>0</v>
      </c>
      <c r="E24" s="2">
        <f>SUM(E18:E23)</f>
        <v>0</v>
      </c>
      <c r="F24" s="2">
        <f>SUM(F18:F23)</f>
        <v>0</v>
      </c>
      <c r="G24" s="2">
        <f>SUM(G18:G23)</f>
        <v>0</v>
      </c>
      <c r="H24" s="2">
        <f>SUM(H18:H23)</f>
        <v>0</v>
      </c>
      <c r="I24" s="17">
        <f>IF(D24&gt;0, E24/D24, 0)</f>
        <v>0</v>
      </c>
    </row>
    <row r="26" spans="2:9">
      <c r="B26" s="12" t="s">
        <v>898</v>
      </c>
      <c r="C26" s="12"/>
      <c r="D26" s="12"/>
      <c r="E26" s="12"/>
      <c r="F26" s="12"/>
      <c r="G26" s="12"/>
      <c r="H26" s="12"/>
      <c r="I26" s="12"/>
    </row>
    <row r="27" spans="2:9">
      <c r="B27" s="13" t="s">
        <v>899</v>
      </c>
      <c r="C27" s="14" t="s">
        <v>900</v>
      </c>
      <c r="D27" s="14"/>
      <c r="E27" s="14"/>
      <c r="F27" s="14"/>
      <c r="G27" s="14"/>
      <c r="H27" s="14"/>
      <c r="I27" s="14"/>
    </row>
    <row r="28" spans="2:9">
      <c r="B28" s="13" t="s">
        <v>901</v>
      </c>
      <c r="C28" s="14" t="s">
        <v>902</v>
      </c>
      <c r="D28" s="14"/>
      <c r="E28" s="14"/>
      <c r="F28" s="14"/>
      <c r="G28" s="14"/>
      <c r="H28" s="14"/>
      <c r="I28" s="14"/>
    </row>
    <row r="29" spans="2:9">
      <c r="B29" s="13" t="s">
        <v>903</v>
      </c>
      <c r="C29" s="14" t="s">
        <v>904</v>
      </c>
      <c r="D29" s="14"/>
      <c r="E29" s="14"/>
      <c r="F29" s="14"/>
      <c r="G29" s="14"/>
      <c r="H29" s="14"/>
      <c r="I29" s="14"/>
    </row>
    <row r="30" spans="2:9">
      <c r="B30" s="13" t="s">
        <v>905</v>
      </c>
      <c r="C30" s="14" t="s">
        <v>906</v>
      </c>
      <c r="D30" s="14"/>
      <c r="E30" s="14"/>
      <c r="F30" s="14"/>
      <c r="G30" s="14"/>
      <c r="H30" s="14"/>
      <c r="I30" s="14"/>
    </row>
  </sheetData>
  <mergeCells count="10">
    <mergeCell ref="B2:H2"/>
    <mergeCell ref="B3:H3"/>
    <mergeCell ref="B5:C5"/>
    <mergeCell ref="B15:H15"/>
    <mergeCell ref="B24:C24"/>
    <mergeCell ref="B26:I26"/>
    <mergeCell ref="C27:I27"/>
    <mergeCell ref="C28:I28"/>
    <mergeCell ref="C29:I29"/>
    <mergeCell ref="C30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2. Xác thực &amp; Hệ thống</vt:lpstr>
      <vt:lpstr>3. Phân hệ Sinh viên</vt:lpstr>
      <vt:lpstr>4. Phân hệ Giảng viên</vt:lpstr>
      <vt:lpstr>5. Giáo vụ &amp; Đào tạo</vt:lpstr>
      <vt:lpstr>6. Quản trị hệ thống</vt:lpstr>
      <vt:lpstr>7. Phi chức năng &amp; Bảo mật</vt:lpstr>
      <vt:lpstr>1. Tổng quan &amp;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2026-10-27T14:59:35Z</dcterms:created>
  <dcterms:modified xsi:type="dcterms:W3CDTF">2026-10-27T14:59:35Z</dcterms:modified>
</cp:coreProperties>
</file>