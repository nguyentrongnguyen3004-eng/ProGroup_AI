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1. Tổng quan &amp; Dashboard" sheetId="1" r:id="rId1"/>
    <sheet name="2. Xác thực &amp; Hệ thống" sheetId="2" r:id="rId2"/>
    <sheet name="3. Phân hệ Sinh viên" sheetId="3" r:id="rId3"/>
    <sheet name="4. Phân hệ Giảng viên" sheetId="4" r:id="rId4"/>
    <sheet name="5. Giáo vụ khoa" sheetId="5" r:id="rId5"/>
    <sheet name="6. Phòng đào tạo" sheetId="6" r:id="rId6"/>
    <sheet name="7. Quản trị hệ thống" sheetId="7" r:id="rId7"/>
    <sheet name="8. Phi chức năng &amp; Bảo mật" sheetId="8" r:id="rId8"/>
  </sheets>
  <calcPr calcId="124519" fullCalcOnLoad="1"/>
</workbook>
</file>

<file path=xl/sharedStrings.xml><?xml version="1.0" encoding="utf-8"?>
<sst xmlns="http://schemas.openxmlformats.org/spreadsheetml/2006/main" count="1957" uniqueCount="1353">
  <si>
    <t>📋 KỊCH BẢN KIỂM THỬ PHÂN HỆ XÁC THỰC &amp; CÀI ĐẶT HỆ THỐNG</t>
  </si>
  <si>
    <t>Mã TC (ID)</t>
  </si>
  <si>
    <t>Phân hệ / Tính năng</t>
  </si>
  <si>
    <t>Kịch bản kiểm thử (Scenario)</t>
  </si>
  <si>
    <t>Tiền điều kiện (Pre-conditions)</t>
  </si>
  <si>
    <t>Các bước thực hiện (Steps)</t>
  </si>
  <si>
    <t>Dữ liệu kiểm thử (Test Data)</t>
  </si>
  <si>
    <t>Kết quả mong đợi (Expected Result)</t>
  </si>
  <si>
    <t>Mức độ (Severity)</t>
  </si>
  <si>
    <t>Ưu tiên (Priority)</t>
  </si>
  <si>
    <t>Kết quả thực tế (Actual Result)</t>
  </si>
  <si>
    <t>Trạng thái (Status)</t>
  </si>
  <si>
    <t>Mã Bug / Ghi chú</t>
  </si>
  <si>
    <t>Tester</t>
  </si>
  <si>
    <t>Ngày test</t>
  </si>
  <si>
    <t>TC_AUTH_001</t>
  </si>
  <si>
    <t>Đăng nhập</t>
  </si>
  <si>
    <t>Đăng nhập thành công với tài khoản Sinh viên</t>
  </si>
  <si>
    <t>App tại màn hình Đăng nhập; Backend API đang chạy.</t>
  </si>
  <si>
    <t>1. Nhập Tên đăng nhập hợp lệ.
2. Nhập Mật khẩu chính xác.
3. Bấm nút 'Đăng nhập'.</t>
  </si>
  <si>
    <t>sv001 / 123456</t>
  </si>
  <si>
    <t>Đăng nhập thành công, lưu JWT Token vào SharedPreferences, vào thẳng Trang chủ Sinh viên.</t>
  </si>
  <si>
    <t>Critical</t>
  </si>
  <si>
    <t>P1</t>
  </si>
  <si>
    <t>TC_AUTH_002</t>
  </si>
  <si>
    <t>Đăng nhập thành công với tài khoản Giảng viên</t>
  </si>
  <si>
    <t>App tại màn hình Đăng nhập.</t>
  </si>
  <si>
    <t>1. Nhập tài khoản Giảng viên.
2. Nhập Mật khẩu.
3. Bấm 'Đăng nhập'.</t>
  </si>
  <si>
    <t>gv001 / 123456</t>
  </si>
  <si>
    <t>Chuyển hướng chính xác vào Trang chủ Giảng viên với menu quản lý lớp và đề tài.</t>
  </si>
  <si>
    <t>TC_AUTH_003</t>
  </si>
  <si>
    <t>Đăng nhập thành công với tài khoản Giáo vụ khoa</t>
  </si>
  <si>
    <t>1. Nhập tài khoản Giáo vụ.
2. Nhập Mật khẩu.
3. Bấm 'Đăng nhập'.</t>
  </si>
  <si>
    <t>gvk.demo / 123456</t>
  </si>
  <si>
    <t>Vào Dashboard Giáo vụ khoa, hiển thị quản lý LHP toàn khoa và phân công GV.</t>
  </si>
  <si>
    <t>High</t>
  </si>
  <si>
    <t>TC_AUTH_004</t>
  </si>
  <si>
    <t>Đăng nhập thành công với tài khoản Phòng đào tạo</t>
  </si>
  <si>
    <t>1. Nhập tài khoản Phòng Đào tạo.
2. Nhập Mật khẩu.
3. Bấm 'Đăng nhập'.</t>
  </si>
  <si>
    <t>pdt.demo / 123456</t>
  </si>
  <si>
    <t>Vào Dashboard Phòng đào tạo với số liệu thống kê đồ án toàn trường.</t>
  </si>
  <si>
    <t>TC_AUTH_005</t>
  </si>
  <si>
    <t>Đăng nhập thành công với tài khoản Quản trị viên (Admin)</t>
  </si>
  <si>
    <t>1. Nhập tài khoản Admin.
2. Nhập Mật khẩu.
3. Bấm 'Đăng nhập'.</t>
  </si>
  <si>
    <t>admin.demo / 123456</t>
  </si>
  <si>
    <t>Vào Dashboard Admin với đầy đủ quyền quản lý tài khoản, import Excel và biểu đồ vai trò.</t>
  </si>
  <si>
    <t>TC_AUTH_006</t>
  </si>
  <si>
    <t>Validate form</t>
  </si>
  <si>
    <t>Để trống Tên đăng nhập và bấm Đăng nhập</t>
  </si>
  <si>
    <t>Ở màn hình Đăng nhập.</t>
  </si>
  <si>
    <t>1. Để trống Tên đăng nhập.
2. Nhập mật khẩu: '123456'.
3. Bấm 'Đăng nhập'.</t>
  </si>
  <si>
    <t>Username: '' / Pass: 123456</t>
  </si>
  <si>
    <t>Hiển thị thông báo: 'Vui lòng nhập tên đăng nhập', không gửi request lên server.</t>
  </si>
  <si>
    <t>Medium</t>
  </si>
  <si>
    <t>P2</t>
  </si>
  <si>
    <t>TC_AUTH_007</t>
  </si>
  <si>
    <t>Để trống Mật khẩu và bấm Đăng nhập</t>
  </si>
  <si>
    <t>1. Nhập Tên đăng nhập: 'sv001'.
2. Để trống Mật khẩu.
3. Bấm 'Đăng nhập'.</t>
  </si>
  <si>
    <t>Username: sv001 / Pass: ''</t>
  </si>
  <si>
    <t>Hiển thị thông báo: 'Vui lòng nhập mật khẩu', không gửi request lên server.</t>
  </si>
  <si>
    <t>TC_AUTH_008</t>
  </si>
  <si>
    <t>Để trống cả Tên đăng nhập và Mật khẩu</t>
  </si>
  <si>
    <t>1. Không nhập gì cả.
2. Bấm nút 'Đăng nhập'.</t>
  </si>
  <si>
    <t>Cả hai trường đều rỗng</t>
  </si>
  <si>
    <t>Cảnh báo lỗi cả hai trường dữ liệu, không thực hiện gọi API.</t>
  </si>
  <si>
    <t>TC_AUTH_009</t>
  </si>
  <si>
    <t>Xác thực sai</t>
  </si>
  <si>
    <t>Đăng nhập với Tên đăng nhập không tồn tại</t>
  </si>
  <si>
    <t>Tài khoản không có trong DB.</t>
  </si>
  <si>
    <t>1. Nhập: 'khong_ton_tai_999'.
2. Nhập: '123456'.
3. Bấm 'Đăng nhập'.</t>
  </si>
  <si>
    <t>khong_ton_tai_999 / 123456</t>
  </si>
  <si>
    <t>Hiển thị lỗi: 'Tên đăng nhập hoặc mật khẩu không chính xác'. Không bị văng app.</t>
  </si>
  <si>
    <t>TC_AUTH_010</t>
  </si>
  <si>
    <t>Đăng nhập với Mật khẩu không chính xác</t>
  </si>
  <si>
    <t>Tài khoản sv001 tồn tại.</t>
  </si>
  <si>
    <t>1. Nhập: 'sv001'.
2. Nhập mật khẩu sai: 'sai_mat_khau'.
3. Bấm 'Đăng nhập'.</t>
  </si>
  <si>
    <t>sv001 / sai_mat_khau</t>
  </si>
  <si>
    <t>Hiển thị lỗi thông báo sai mật khẩu (HTTP 401 hoặc 400).</t>
  </si>
  <si>
    <t>TC_AUTH_011</t>
  </si>
  <si>
    <t>Bảo mật</t>
  </si>
  <si>
    <t>Đăng nhập với tài khoản đang bị Khóa (Trạng thái = False)</t>
  </si>
  <si>
    <t>Admin đã khóa tài khoản trong hệ thống.</t>
  </si>
  <si>
    <t>1. Nhập tài khoản bị khóa.
2. Nhập mật khẩu đúng.
3. Bấm 'Đăng nhập'.</t>
  </si>
  <si>
    <t>Tài khoản bị khóa</t>
  </si>
  <si>
    <t>Báo lỗi: 'Tài khoản của bạn đã bị khóa hoặc ngừng hoạt động'. Không cấp quyền truy cập.</t>
  </si>
  <si>
    <t>TC_AUTH_012</t>
  </si>
  <si>
    <t>Thử nghiệm tấn công SQL Injection vào ô Đăng nhập</t>
  </si>
  <si>
    <t>1. Nhập username: ' OR '1'='1 --
2. Nhập pass: ' OR '1'='1 --
3. Bấm 'Đăng nhập'.</t>
  </si>
  <si>
    <t>' OR '1'='1 --</t>
  </si>
  <si>
    <t>Backend xử lý bằng Entity Framework Core (tham số hóa an toàn), báo lỗi sai tài khoản, không bị SQL Injection.</t>
  </si>
  <si>
    <t>TC_AUTH_013</t>
  </si>
  <si>
    <t>UI Đăng nhập</t>
  </si>
  <si>
    <t>Kiểm tra nút ẩn / hiện mật khẩu (Obscure text)</t>
  </si>
  <si>
    <t>Đang nhập mật khẩu.</t>
  </si>
  <si>
    <t>1. Nhập mật khẩu vào ô.
2. Bấm icon con mắt.
3. Bấm lại lần nữa.</t>
  </si>
  <si>
    <t>Password: 'abc123XYZ'</t>
  </si>
  <si>
    <t>Mặc định che mật khẩu bằng dấu chấm tròn. Bấm mắt hiển thị ký tự thật, bấm lại che đi.</t>
  </si>
  <si>
    <t>Low</t>
  </si>
  <si>
    <t>P3</t>
  </si>
  <si>
    <t>TC_AUTH_014</t>
  </si>
  <si>
    <t>Lưu phiên</t>
  </si>
  <si>
    <t>Tự động khôi phục phiên đăng nhập khi tắt và mở lại app</t>
  </si>
  <si>
    <t>Đã đăng nhập thành công trước đó.</t>
  </si>
  <si>
    <t>1. Thoát hẳn ứng dụng (tắt task đa nhiệm).
2. Mở lại ứng dụng ProGroup AI.</t>
  </si>
  <si>
    <t>Token trong SharedPreferences</t>
  </si>
  <si>
    <t>App tự động khôi phục token và vào thẳng trang chủ tương ứng, không bắt đăng nhập lại.</t>
  </si>
  <si>
    <t>TC_AUTH_015</t>
  </si>
  <si>
    <t>Đăng xuất</t>
  </si>
  <si>
    <t>Đăng xuất tài khoản an toàn</t>
  </si>
  <si>
    <t>Người dùng đang đăng nhập.</t>
  </si>
  <si>
    <t>1. Vào tab 'Cá nhân'.
2. Kéo xuống bấm 'Đăng xuất'.
3. Xác nhận trên dialog.</t>
  </si>
  <si>
    <t>N/A</t>
  </si>
  <si>
    <t>Hủy phiên, xóa sạch JWT Token trong SharedPreferences, chuyển hướng về màn hình Đăng nhập.</t>
  </si>
  <si>
    <t>TC_AUTH_016</t>
  </si>
  <si>
    <t>Mạng &amp; Server</t>
  </si>
  <si>
    <t>Tự động nhận diện máy chủ qua cáp USB (ADB Reverse)</t>
  </si>
  <si>
    <t>Cắm cáp USB và đã chạy 'adb reverse tcp:5094 tcp:5094'.</t>
  </si>
  <si>
    <t>1. Mở ứng dụng.
2. Hàm autoDetectServer() tự ping 127.0.0.1:5094.</t>
  </si>
  <si>
    <t>http://127.0.0.1:5094</t>
  </si>
  <si>
    <t>Kết nối thành công trong &lt; 1 giây, gán làm BaseUrl chính.</t>
  </si>
  <si>
    <t>TC_AUTH_017</t>
  </si>
  <si>
    <t>Tự động nhận diện máy chủ qua mạng Wi-Fi LAN</t>
  </si>
  <si>
    <t>Rút cáp USB, điện thoại và máy tính chung Wi-Fi.</t>
  </si>
  <si>
    <t>1. Mở ứng dụng.
2. autoDetectServer() ping lần lượt các IP.</t>
  </si>
  <si>
    <t>http://192.168.x.x:5094</t>
  </si>
  <si>
    <t>Tự động fallback và kết nối tới IP LAN của máy tính, app hoạt động bình thường.</t>
  </si>
  <si>
    <t>TC_AUTH_018</t>
  </si>
  <si>
    <t>Xử lý khi máy tính chưa bật Backend API</t>
  </si>
  <si>
    <t>Backend chưa khởi chạy.</t>
  </si>
  <si>
    <t>1. Mở app trên điện thoại.
2. Quan sát phản ứng.</t>
  </si>
  <si>
    <t>Server offline</t>
  </si>
  <si>
    <t>Timeout sau 2-5 giây, app hiển thị thông báo không thể kết nối tới server, không crash app.</t>
  </si>
  <si>
    <t>TC_AUTH_019</t>
  </si>
  <si>
    <t>Kiểm tra nút 'Máy chủ' đã được ẩn trên giao diện Đăng nhập</t>
  </si>
  <si>
    <t>1. Quan sát góc trên bên phải màn hình Đăng nhập.</t>
  </si>
  <si>
    <t>Không còn nút 'Máy chủ' nào hiển thị, giao diện sạch sẽ, chuyên nghiệp.</t>
  </si>
  <si>
    <t>TC_AUTH_020</t>
  </si>
  <si>
    <t>Phím tắt Dev</t>
  </si>
  <si>
    <t>Mở hộp thoại Cấu hình Máy chủ bằng cách nhấn giữ Logo</t>
  </si>
  <si>
    <t>1. Dùng ngón tay nhấn giữ (Long press) vào Logo ProGroup AI khoảng 1 giây.</t>
  </si>
  <si>
    <t>GestureDetector onLongPress</t>
  </si>
  <si>
    <t>Hộp thoại ServerConfigDialog hiện lên cho phép Dev kiểm tra IP, ping và đổi máy chủ nếu cần.</t>
  </si>
  <si>
    <t>TC_AUTH_021</t>
  </si>
  <si>
    <t>Cấu hình Server</t>
  </si>
  <si>
    <t>Thử nghiệm ping và lưu IP máy chủ mới trong dialog</t>
  </si>
  <si>
    <t>Đang mở ServerConfigDialog.</t>
  </si>
  <si>
    <t>1. Nhập IP máy chủ mới.
2. Bấm 'Kiểm tra kết nối (Ping)'.
3. Bấm 'Lưu cấu hình'.</t>
  </si>
  <si>
    <t>IP: http://192.168.1.109:5094</t>
  </si>
  <si>
    <t>Báo kết quả ping thành công/thất bại trực quan. Bấm lưu sẽ cập nhật BaseUrl của app.</t>
  </si>
  <si>
    <t>TC_AUTH_022</t>
  </si>
  <si>
    <t>Giao diện</t>
  </si>
  <si>
    <t>Chuyển đổi giao diện Tối (Dark Mode) và lưu cấu hình</t>
  </si>
  <si>
    <t>Đang trong app.</t>
  </si>
  <si>
    <t>1. Vào Cá nhân &gt; Cài đặt giao diện &gt; Chọn 'Chế độ Tối'.
2. Thoát app và mở lại.</t>
  </si>
  <si>
    <t>ThemeMode.dark</t>
  </si>
  <si>
    <t>Toàn bộ background đổi sang xanh đen slate, chữ chuyển màu trắng sáng. Mở lại app vẫn giữ Dark mode.</t>
  </si>
  <si>
    <t>TC_AUTH_023</t>
  </si>
  <si>
    <t>Chuyển đổi giao diện Sáng (Light Mode)</t>
  </si>
  <si>
    <t>Đang ở Dark Mode.</t>
  </si>
  <si>
    <t>1. Chọn 'Chế độ Sáng'.
2. Quan sát giao diện.</t>
  </si>
  <si>
    <t>ThemeMode.light</t>
  </si>
  <si>
    <t>Nền đổi về trắng xám nhẹ, thanh AppBar giữ gradient xanh navy thương hiệu, chữ đổi về màu đen/xanh đậm.</t>
  </si>
  <si>
    <t>TC_AUTH_024</t>
  </si>
  <si>
    <t>Đa ngôn ngữ</t>
  </si>
  <si>
    <t>Đổi ngôn ngữ sang Tiếng Anh (English)</t>
  </si>
  <si>
    <t>App đang ở Tiếng Việt.</t>
  </si>
  <si>
    <t>1. Vào Cài đặt &gt; Ngôn ngữ &gt; Chọn 'English'.</t>
  </si>
  <si>
    <t>Locale('en')</t>
  </si>
  <si>
    <t>Toàn bộ nhãn, tiêu đề màn hình, nút bấm đổi sang tiếng Anh (Login, Courses, Topics, Profile...).</t>
  </si>
  <si>
    <t>TC_AUTH_025</t>
  </si>
  <si>
    <t>Cập nhật OTA</t>
  </si>
  <si>
    <t>Kiểm tra phiên bản ứng dụng từ Backend</t>
  </si>
  <si>
    <t>Có kết nối mạng.</t>
  </si>
  <si>
    <t>1. Vào Cá nhân &gt; Thông tin ứng dụng &gt; Bấm 'Kiểm tra bản cập nhật'.</t>
  </si>
  <si>
    <t>GET /api/app/version</t>
  </si>
  <si>
    <t>Nếu là bản mới nhất: Báo 'Ứng dụng đang ở phiên bản mới nhất (1.0.0)'. Không hiện popup lỗi.</t>
  </si>
  <si>
    <t>TC_AUTH_026</t>
  </si>
  <si>
    <t>Nhập liệu</t>
  </si>
  <si>
    <t>Tự động cắt khoảng trắng thừa (Auto-trim whitespace) khi nhập tài khoản</t>
  </si>
  <si>
    <t>Tại màn hình Đăng nhập.</t>
  </si>
  <si>
    <t>1. Nhập username có khoảng trắng ở đầu và cuối: '  sv001  '.
2. Nhập mật khẩu: '123456'.
3. Bấm 'Đăng nhập'.</t>
  </si>
  <si>
    <t>'  sv001  '</t>
  </si>
  <si>
    <t>App tự động trim bỏ khoảng trắng thừa, gửi 'sv001' lên server và đăng nhập thành công.</t>
  </si>
  <si>
    <t>TC_AUTH_027</t>
  </si>
  <si>
    <t>Chống Spam</t>
  </si>
  <si>
    <t>Chống bấm liên tục (Spam Click / Debounce) vào nút 'Đăng nhập'</t>
  </si>
  <si>
    <t>1. Nhập thông tin đăng nhập.
2. Nhấn liên tục 3-4 lần thật nhanh vào nút 'Đăng nhập'.</t>
  </si>
  <si>
    <t>Spam click 3 lần</t>
  </si>
  <si>
    <t>Nút đăng nhập hiển thị vòng quay loading và bị khóa tạm thời, chỉ gửi duy nhất 1 HTTP request lên server.</t>
  </si>
  <si>
    <t>TC_AUTH_028</t>
  </si>
  <si>
    <t>Tự phục hồi</t>
  </si>
  <si>
    <t>Tự động kết nối lại khi thiết bị có mạng trở lại mà không cần khởi động lại app</t>
  </si>
  <si>
    <t>Mở app khi điện thoại đang mất mạng (báo lỗi kết nối).</t>
  </si>
  <si>
    <t>1. Bật lại Wi-Fi hoặc cắm lại cáp USB.
2. Bấm nút 'Thử lại' trên giao diện.</t>
  </si>
  <si>
    <t>Network reconnect</t>
  </si>
  <si>
    <t>App tự động kiểm tra lại server và nạp dữ liệu bình thường mà không cần thoát app ra vào lại.</t>
  </si>
  <si>
    <t>📋 KỊCH BẢN KIỂM THỬ PHÂN HỆ SINH VIÊN (STUDENT MODULE)</t>
  </si>
  <si>
    <t>TC_STU_001</t>
  </si>
  <si>
    <t>Trang chủ</t>
  </si>
  <si>
    <t>Hiển thị thông tin cá nhân và Avatar trên Header</t>
  </si>
  <si>
    <t>Đăng nhập tài khoản sv001.</t>
  </si>
  <si>
    <t>1. Vào tab Trang chủ.
2. Quan sát góc trên màn hình.</t>
  </si>
  <si>
    <t>Trần Minh Quang (sv001)</t>
  </si>
  <si>
    <t>Hiển thị đúng lời chào 'Xin chào, Trần Minh Quang', ảnh Avatar cá nhân, nút chuông thông báo có badge.</t>
  </si>
  <si>
    <t>TC_STU_002</t>
  </si>
  <si>
    <t>Kiểm tra 3 thẻ thống kê tổng quan (Lớp học, Nhóm, Đề tài)</t>
  </si>
  <si>
    <t>Ở Trang chủ Sinh viên.</t>
  </si>
  <si>
    <t>1. Quan sát 3 thẻ thống kê.
2. Đối chiếu số liệu với CSDL.</t>
  </si>
  <si>
    <t>GET /api/student/courses, groups, topics</t>
  </si>
  <si>
    <t>Thẻ hiển thị đúng: Số lớp học phần đang học, Trạng thái nhóm, Trạng thái đề tài của sinh viên.</t>
  </si>
  <si>
    <t>TC_STU_003</t>
  </si>
  <si>
    <t>Banner Trợ lý AI gợi ý đề tài trên trang chủ</t>
  </si>
  <si>
    <t>1. Bấm vào nút 'Khám phá ngay' trên Banner AI Gemini.</t>
  </si>
  <si>
    <t>Chuyển ngay sang màn hình Trợ lý AI tư vấn đề tài.</t>
  </si>
  <si>
    <t>TC_STU_004</t>
  </si>
  <si>
    <t>Làm mới dữ liệu trang chủ bằng thao tác kéo (Pull-to-refresh)</t>
  </si>
  <si>
    <t>1. Vuốt màn hình từ trên xuống dưới.
2. Thả tay.</t>
  </si>
  <si>
    <t>Icon loading xoay tròn, gọi lại đồng thời các API lấy lớp học, nhóm, thông báo mới nhất.</t>
  </si>
  <si>
    <t>TC_STU_005</t>
  </si>
  <si>
    <t>Lớp học phần</t>
  </si>
  <si>
    <t>Xem danh sách các LHP sinh viên đang theo học</t>
  </si>
  <si>
    <t>Sinh viên đã được gán vào ít nhất 1 LHP.</t>
  </si>
  <si>
    <t>1. Bấm vào tab 'Lớp học phần'.
2. Xem danh sách thẻ LHP.</t>
  </si>
  <si>
    <t>GET /api/student/courses</t>
  </si>
  <si>
    <t>Hiển thị danh sách card LHP: Mã lớp, Tên môn học, Học kỳ, Tên giảng viên phụ trách, sĩ số lớp.</t>
  </si>
  <si>
    <t>TC_STU_006</t>
  </si>
  <si>
    <t>Tìm kiếm LHP theo Tên môn học hoặc Mã lớp</t>
  </si>
  <si>
    <t>Sinh viên có nhiều LHP.</t>
  </si>
  <si>
    <t>1. Nhập từ khóa 'Di động' vào ô tìm kiếm.
2. Quan sát danh sách.</t>
  </si>
  <si>
    <t>Từ khóa: 'Di động'</t>
  </si>
  <si>
    <t>Danh sách chỉ hiển thị các LHP có tên hoặc mã chứa từ khóa 'Di động'.</t>
  </si>
  <si>
    <t>TC_STU_007</t>
  </si>
  <si>
    <t>Xem chi tiết một Lớp học phần</t>
  </si>
  <si>
    <t>Tại danh sách LHP.</t>
  </si>
  <si>
    <t>1. Bấm vào card môn 'Phát triển ứng dụng di động'.</t>
  </si>
  <si>
    <t>LHP ID: 1</t>
  </si>
  <si>
    <t>Mở màn hình chi tiết: xem giảng viên phụ trách, danh sách đợt đăng ký đồ án của lớp, thời hạn đăng ký.</t>
  </si>
  <si>
    <t>TC_STU_008</t>
  </si>
  <si>
    <t>Hiển thị empty state khi sinh viên chưa có LHP nào</t>
  </si>
  <si>
    <t>Tài khoản sinh viên mới chưa ghi danh LHP.</t>
  </si>
  <si>
    <t>1. Đăng nhập tài khoản mới.
2. Vào tab Lớp học phần.</t>
  </si>
  <si>
    <t>SV mới</t>
  </si>
  <si>
    <t>Hiển thị icon minh họa và text: 'Bạn chưa tham gia lớp học phần nào' kèm nút 'Tải lại'. Không crash.</t>
  </si>
  <si>
    <t>TC_STU_009</t>
  </si>
  <si>
    <t>Quản lý nhóm</t>
  </si>
  <si>
    <t>Xem thông tin nhóm đồ án hiện tại của sinh viên</t>
  </si>
  <si>
    <t>Sinh viên đã thuộc về một nhóm.</t>
  </si>
  <si>
    <t>1. Bấm vào tab 'Nhóm'.
2. Xem thông tin hiển thị.</t>
  </si>
  <si>
    <t>GET /api/student/groups</t>
  </si>
  <si>
    <t>Hiển thị: Tên nhóm, Trưởng nhóm (có huy hiệu nhóm trưởng), Danh sách thành viên (MSSV, Họ tên), Đề tài đã chọn.</t>
  </si>
  <si>
    <t>TC_STU_010</t>
  </si>
  <si>
    <t>Trưởng nhóm đổi tên nhóm đồ án thành công</t>
  </si>
  <si>
    <t>Đăng nhập tài khoản Trưởng nhóm.</t>
  </si>
  <si>
    <t>1. Tại trang Nhóm, bấm icon bút chì cạnh tên nhóm.
2. Nhập tên mới: 'Nhóm Pro Flutter 2026'.
3. Bấm 'Lưu'.</t>
  </si>
  <si>
    <t>PUT /api/groups/{id}/name {'tenNhom': '...'}</t>
  </si>
  <si>
    <t>Cập nhật tên nhóm thành công trên UI và Backend. Thông báo 'Đổi tên nhóm thành công'.</t>
  </si>
  <si>
    <t>TC_STU_011</t>
  </si>
  <si>
    <t>Thành viên thường không có quyền đổi tên nhóm</t>
  </si>
  <si>
    <t>Đăng nhập tài khoản là thành viên thường (không phải nhóm trưởng).</t>
  </si>
  <si>
    <t>1. Vào trang Nhóm.
2. Kiểm tra giao diện cạnh tên nhóm.</t>
  </si>
  <si>
    <t>Role thành viên</t>
  </si>
  <si>
    <t>Không hiển thị icon chỉnh sửa tên nhóm (chỉ trưởng nhóm mới có quyền).</t>
  </si>
  <si>
    <t>TC_STU_012</t>
  </si>
  <si>
    <t>Báo lỗi khi đổi tên nhóm để trống hoặc chỉ có khoảng trắng</t>
  </si>
  <si>
    <t>Là Trưởng nhóm.</t>
  </si>
  <si>
    <t>1. Bấm đổi tên nhóm.
2. Xóa sạch để trống hoặc nhập '   '.
3. Bấm 'Lưu'.</t>
  </si>
  <si>
    <t>Tên rỗng</t>
  </si>
  <si>
    <t>Hiển thị cảnh báo: 'Tên nhóm không được để trống'. Không gửi request rác lên server.</t>
  </si>
  <si>
    <t>TC_STU_013</t>
  </si>
  <si>
    <t>Ngân hàng đề tài</t>
  </si>
  <si>
    <t>Xem danh sách đề tài đồ án do Giảng viên công bố</t>
  </si>
  <si>
    <t>Đợt đăng ký đang Mở.</t>
  </si>
  <si>
    <t>1. Vào tab 'Đề tài'.
2. Xem danh sách các đề tài.</t>
  </si>
  <si>
    <t>GET /api/de-tai</t>
  </si>
  <si>
    <t>Hiển thị danh sách card đề tài: Tên đề tài, Giảng viên ra đề, Công nghệ yêu cầu, Trạng thái còn chỗ/hết chỗ.</t>
  </si>
  <si>
    <t>TC_STU_014</t>
  </si>
  <si>
    <t>Tìm kiếm đề tài theo Tên đề tài hoặc Công nghệ</t>
  </si>
  <si>
    <t>Tại màn hình Đề tài.</t>
  </si>
  <si>
    <t>1. Nhập 'Flutter' vào ô tìm kiếm.
2. Nhập 'AI' vào ô tìm kiếm.</t>
  </si>
  <si>
    <t>Search: 'Flutter'</t>
  </si>
  <si>
    <t>Lập tức lọc danh sách đề tài chứa công nghệ Flutter hoặc AI.</t>
  </si>
  <si>
    <t>TC_STU_015</t>
  </si>
  <si>
    <t>Xem chi tiết nội dung đề tài đồ án</t>
  </si>
  <si>
    <t>Tại danh sách đề tài.</t>
  </si>
  <si>
    <t>1. Bấm vào một đề tài bất kỳ.</t>
  </si>
  <si>
    <t>Đề tài: 'Hệ thống Quản lý Đồ án AI'</t>
  </si>
  <si>
    <t>Hiển thị đầy đủ: Mục tiêu nghiên cứu, Phạm vi đồ án, Công nghệ đề xuất, Số nhóm tối đa được nhận, Giảng viên hướng dẫn.</t>
  </si>
  <si>
    <t>TC_STU_016</t>
  </si>
  <si>
    <t>Đăng ký đề tài</t>
  </si>
  <si>
    <t>Trưởng nhóm đăng ký đề tài thành công khi thỏa mãn điều kiện</t>
  </si>
  <si>
    <t>Nhóm trưởng chưa đăng ký đề tài nào; nhóm đủ số lượng thành viên tối thiểu; đề tài còn chỗ.</t>
  </si>
  <si>
    <t>1. Chọn đề tài mong muốn.
2. Bấm nút 'Đăng ký đề tài'.
3. Xác nhận trên dialog.</t>
  </si>
  <si>
    <t>POST /api/dang-ky-de-tai {nhomId, deTaiId}</t>
  </si>
  <si>
    <t>Đăng ký thành công, trạng thái chuyển sang 'Chờ duyệt', slot của đề tài được cập nhật, hiện thông báo thành công.</t>
  </si>
  <si>
    <t>TC_STU_017</t>
  </si>
  <si>
    <t>Thành viên thường bấm Đăng ký đề tài bị chặn</t>
  </si>
  <si>
    <t>Tài khoản đăng nhập là thành viên thường trong nhóm.</t>
  </si>
  <si>
    <t>1. Chọn đề tài.
2. Bấm 'Đăng ký đề tài'.</t>
  </si>
  <si>
    <t>Thành viên thường</t>
  </si>
  <si>
    <t>Báo lỗi: 'Chỉ có Nhóm trưởng mới có quyền đăng ký đề tài cho nhóm'.</t>
  </si>
  <si>
    <t>TC_STU_018</t>
  </si>
  <si>
    <t>Chặn đăng ký khi nhóm đã có đề tài được duyệt chính thức</t>
  </si>
  <si>
    <t>Nhóm đã có 1 đề tài ở trạng thái 'Đã duyệt'.</t>
  </si>
  <si>
    <t>1. Vào chọn một đề tài khác.
2. Bấm nút 'Đăng ký đề tài'.</t>
  </si>
  <si>
    <t>Đăng ký trùng</t>
  </si>
  <si>
    <t>Nút đăng ký bị vô hiệu hóa hoặc hệ thống báo lỗi: 'Nhóm của bạn đã có đề tài được duyệt'.</t>
  </si>
  <si>
    <t>TC_STU_019</t>
  </si>
  <si>
    <t>Chặn đăng ký khi nhóm chưa đủ số thành viên tối thiểu</t>
  </si>
  <si>
    <t>Quy định đợt yêu cầu tối thiểu 2 thành viên, nhóm hiện chỉ có 1 thành viên.</t>
  </si>
  <si>
    <t>1. Bấm 'Đăng ký đề tài'.</t>
  </si>
  <si>
    <t>Nhóm 1 thành viên (Min = 2)</t>
  </si>
  <si>
    <t>Báo lỗi: 'Nhóm của bạn chưa đủ số thành viên tối thiểu (yêu cầu tối thiểu 2 thành viên)'.</t>
  </si>
  <si>
    <t>TC_STU_020</t>
  </si>
  <si>
    <t>Chặn đăng ký khi đề tài đã hết slot (Đã đủ số nhóm)</t>
  </si>
  <si>
    <t>Đề tài đã đạt số nhóm tối đa (ví dụ 1/1 hoặc 2/2).</t>
  </si>
  <si>
    <t>1. Chọn đề tài đã đầy.
2. Bấm 'Đăng ký đề tài'.</t>
  </si>
  <si>
    <t>Đề tài full slots</t>
  </si>
  <si>
    <t>Báo lỗi: 'Đề tài này đã đủ số lượng nhóm đăng ký, vui lòng chọn đề tài khác'.</t>
  </si>
  <si>
    <t>TC_STU_021</t>
  </si>
  <si>
    <t>Hủy đăng ký</t>
  </si>
  <si>
    <t>Hủy đăng ký đề tài thành công khi đang ở trạng thái 'Chờ duyệt'</t>
  </si>
  <si>
    <t>Đơn đăng ký đang ở trạng thái 'Chờ duyệt' (chưa được GV duyệt).</t>
  </si>
  <si>
    <t>1. Vào chi tiết đăng ký của nhóm.
2. Bấm nút 'Hủy đăng ký'.
3. Xác nhận 'Đồng ý hủy'.</t>
  </si>
  <si>
    <t>DELETE /api/dang-ky-de-tai/{id}</t>
  </si>
  <si>
    <t>Hủy đăng ký thành công, trạng thái nhóm quay lại Chưa đăng ký, slot đề tài được trả lại.</t>
  </si>
  <si>
    <t>TC_STU_022</t>
  </si>
  <si>
    <t>Không cho phép hủy đăng ký khi đề tài đã được Giảng viên Duyệt</t>
  </si>
  <si>
    <t>Đơn đăng ký đã ở trạng thái 'Đã duyệt'.</t>
  </si>
  <si>
    <t>1. Vào xem thông tin đề tài của nhóm.
2. Kiểm tra nút 'Hủy đăng ký'.</t>
  </si>
  <si>
    <t>Đề tài đã duyệt</t>
  </si>
  <si>
    <t>Nút Hủy đăng ký không hiển thị hoặc bị vô hiệu hóa (muốn đổi phải liên hệ trực tiếp Giảng viên).</t>
  </si>
  <si>
    <t>TC_STU_023</t>
  </si>
  <si>
    <t>Đề xuất đề tài</t>
  </si>
  <si>
    <t>Sinh viên tự đề xuất đề tài mới cho nhóm thành công</t>
  </si>
  <si>
    <t>Đợt đăng ký cho phép đề xuất đề tài; nhóm chưa có đề tài được duyệt.</t>
  </si>
  <si>
    <t>1. Vào mục 'Đề xuất đề tài'.
2. Nhập: Tên đề tài, Mục tiêu, Phạm vi, Công nghệ đề xuất.
3. Chọn Đợt đăng ký tương ứng.
4. Bấm 'Gửi đề xuất'.</t>
  </si>
  <si>
    <t>POST /api/de-tai/de-xuat</t>
  </si>
  <si>
    <t>Tạo đề xuất thành công, trạng thái 'Chờ duyệt', đề tài xuất hiện trong tab Đề xuất của tôi và gửi thông báo tới GV.</t>
  </si>
  <si>
    <t>TC_STU_024</t>
  </si>
  <si>
    <t>Validate form đề xuất đề tài (bắt buộc nhập đủ trường)</t>
  </si>
  <si>
    <t>Tại màn hình Đề xuất đề tài.</t>
  </si>
  <si>
    <t>1. Để trống Tên đề tài hoặc Mục tiêu.
2. Bấm 'Gửi đề xuất'.</t>
  </si>
  <si>
    <t>Báo lỗi màu đỏ dưới các trường bắt buộc, không gửi request lên server.</t>
  </si>
  <si>
    <t>TC_STU_025</t>
  </si>
  <si>
    <t>Báo cáo tiến độ</t>
  </si>
  <si>
    <t>Xem danh sách các cột mốc nộp báo cáo tiến độ đồ án</t>
  </si>
  <si>
    <t>Nhóm đã có đề tài chính thức.</t>
  </si>
  <si>
    <t>1. Vào mục 'Báo cáo tiến độ'.
2. Quan sát các mốc tuần (Tuần 1, Tuần 3, Tuần 6...).</t>
  </si>
  <si>
    <t>GET /api/progress-reports</t>
  </si>
  <si>
    <t>Hiển thị danh sách các mốc báo cáo kèm hạn chót (Deadline), trạng thái Chưa nộp / Đã nộp / Đã chấm.</t>
  </si>
  <si>
    <t>TC_STU_026</t>
  </si>
  <si>
    <t>Nộp báo cáo tiến độ đồ án đúng hạn kèm link tài liệu</t>
  </si>
  <si>
    <t>Mốc báo cáo đang trong thời hạn cho phép nộp.</t>
  </si>
  <si>
    <t>1. Chọn mốc báo cáo cần nộp.
2. Nhập tóm tắt công việc đã hoàn thành.
3. Nhập link GitHub / Google Drive tài liệu.
4. Bấm 'Nộp báo cáo'.</t>
  </si>
  <si>
    <t>Link: https://github.com/progroup-ai/repo</t>
  </si>
  <si>
    <t>Nộp thành công, trạng thái chuyển sang 'Đã nộp - Chờ đánh giá', ghi nhận thời gian nộp.</t>
  </si>
  <si>
    <t>TC_STU_027</t>
  </si>
  <si>
    <t>Validate định dạng URL link báo cáo</t>
  </si>
  <si>
    <t>Ở form nộp báo cáo.</t>
  </si>
  <si>
    <t>1. Nhập link sai định dạng: 'day_khong_phai_link'.
2. Bấm 'Nộp báo cáo'.</t>
  </si>
  <si>
    <t>day_khong_phai_link</t>
  </si>
  <si>
    <t>Hiển thị cảnh báo: 'Vui lòng nhập đường dẫn URL hợp lệ (bắt đầu bằng http:// hoặc https://)'.</t>
  </si>
  <si>
    <t>TC_STU_028</t>
  </si>
  <si>
    <t>Xem điểm số và nhận xét đánh giá từ Giảng viên</t>
  </si>
  <si>
    <t>Giảng viên đã chấm điểm mốc báo cáo.</t>
  </si>
  <si>
    <t>1. Vào chi tiết mốc báo cáo đã được chấm.</t>
  </si>
  <si>
    <t>Điểm: 9.0</t>
  </si>
  <si>
    <t>Hiển thị điểm số (9.0/10), trạng thái 'Đạt', hiển thị chi tiết nhận xét đánh giá của giảng viên.</t>
  </si>
  <si>
    <t>TC_STU_029</t>
  </si>
  <si>
    <t>Trợ lý AI Gemini</t>
  </si>
  <si>
    <t>Tư vấn gợi ý đề tài với số lượng 3 đề tài (Mặc định)</t>
  </si>
  <si>
    <t>Tại màn hình Trợ lý AI; có kết nối mạng.</t>
  </si>
  <si>
    <t>1. Chọn Lĩnh vực: 'Trí tuệ nhân tạo'.
2. Chọn Nền tảng: 'Mobile / Flutter'.
3. Giữ số lượng đề tài là 3.
4. Bấm 'Gợi ý đề tài'.</t>
  </si>
  <si>
    <t>topicCount = 3</t>
  </si>
  <si>
    <t>AI sinh ra chính xác 3 đề tài có cấu trúc: Tên đề tài, Tính cấp thiết, Mục tiêu, Công nghệ áp dụng.</t>
  </si>
  <si>
    <t>TC_STU_030</t>
  </si>
  <si>
    <t>Tùy chọn số lượng đề tài AI sinh ra (1, 2, 5, 10 đề tài)</t>
  </si>
  <si>
    <t>Ở màn hình Trợ lý AI.</t>
  </si>
  <si>
    <t>1. Bấm chọn chip số lượng là '5' (hoặc '10').
2. Bấm 'Gợi ý đề tài'.</t>
  </si>
  <si>
    <t>topicCount = 5</t>
  </si>
  <si>
    <t>AI phản hồi danh sách gồm đúng 5 đề tài tương ứng, được đánh số rõ ràng.</t>
  </si>
  <si>
    <t>TC_STU_031</t>
  </si>
  <si>
    <t>Chat trực tiếp với Trợ lý AI về định hướng đồ án</t>
  </si>
  <si>
    <t>1. Gõ tin nhắn vào khung chat: 'Em muốn làm đề tài về nhận diện biển số xe thì cần chuẩn bị kiến thức gì?'.
2. Bấm nút gửi.</t>
  </si>
  <si>
    <t>Chat consult</t>
  </si>
  <si>
    <t>AI phản hồi thông minh, giải thích lộ trình kiến thức (OpenCV, YOLO, Python, Flutter...) theo văn phong học thuật.</t>
  </si>
  <si>
    <t>TC_STU_032</t>
  </si>
  <si>
    <t>Xử lý lỗi khi mất mạng trong lúc gọi Trợ lý AI</t>
  </si>
  <si>
    <t>Tắt Wi-Fi / ngắt mạng.</t>
  </si>
  <si>
    <t>1. Bấm 'Gợi ý đề tài'.</t>
  </si>
  <si>
    <t>No network</t>
  </si>
  <si>
    <t>Báo lỗi thân thiện: 'Không thể kết nối Gemini AI. Vui lòng kiểm tra kết nối mạng' kèm nút 'Thử lại'. Không crash.</t>
  </si>
  <si>
    <t>TC_STU_033</t>
  </si>
  <si>
    <t>Thông báo</t>
  </si>
  <si>
    <t>Nhận thông báo khi Giảng viên Duyệt đề tài</t>
  </si>
  <si>
    <t>Giảng viên vừa duyệt đề tài của nhóm.</t>
  </si>
  <si>
    <t>1. Vào màn hình Thông báo.
2. Quan sát thông báo mới nhất.</t>
  </si>
  <si>
    <t>Notification push</t>
  </si>
  <si>
    <t>Xuất hiện thông báo: 'Đề tài [Tên đề tài] của nhóm bạn đã được Giảng viên phê duyệt!', có chấm xanh chưa đọc.</t>
  </si>
  <si>
    <t>TC_STU_034</t>
  </si>
  <si>
    <t>Đánh dấu 1 thông báo là đã đọc khi bấm vào</t>
  </si>
  <si>
    <t>Có thông báo chưa đọc.</t>
  </si>
  <si>
    <t>1. Bấm vào thông báo chưa đọc.
2. Quay lại danh sách thông báo.</t>
  </si>
  <si>
    <t>PUT /api/notifications/{id}/read</t>
  </si>
  <si>
    <t>Thông báo mất chấm xanh, chuyển sang trạng thái đã đọc, số lượng trên badge giảm 1.</t>
  </si>
  <si>
    <t>TC_STU_035</t>
  </si>
  <si>
    <t>Bấm 'Đánh dấu tất cả đã đọc'</t>
  </si>
  <si>
    <t>Có nhiều thông báo chưa đọc.</t>
  </si>
  <si>
    <t>1. Bấm icon 'Đánh dấu tất cả đã đọc' ở góc trên AppBar.</t>
  </si>
  <si>
    <t>PUT /api/notifications/read-all</t>
  </si>
  <si>
    <t>Tất cả thông báo chuyển sang trạng thái đã đọc, badge chuông biến mất (số = 0).</t>
  </si>
  <si>
    <t>TC_STU_036</t>
  </si>
  <si>
    <t>Hồ sơ cá nhân</t>
  </si>
  <si>
    <t>Xem thông tin chi tiết sinh viên (MSSV, Ngày sinh, Khoa)</t>
  </si>
  <si>
    <t>Đăng nhập sv001.</t>
  </si>
  <si>
    <t>1. Vào tab 'Cá nhân'.
2. Xem các trường thông tin.</t>
  </si>
  <si>
    <t>GET /api/profile</t>
  </si>
  <si>
    <t>Hiển thị đúng MSSV, Họ tên, Ngày sinh, Giới tính, Khoa Công nghệ thông tin, Lớp học phần tham gia.</t>
  </si>
  <si>
    <t>TC_STU_037</t>
  </si>
  <si>
    <t>Cập nhật Số điện thoại liên hệ cá nhân</t>
  </si>
  <si>
    <t>Ở trang Cá nhân.</t>
  </si>
  <si>
    <t>1. Bấm 'Chỉnh sửa hồ sơ'.
2. Nhập số điện thoại mới: '0909123456'.
3. Bấm 'Lưu'.</t>
  </si>
  <si>
    <t>PUT /api/profile</t>
  </si>
  <si>
    <t>Cập nhật thành công, số điện thoại mới hiển thị trên hồ sơ.</t>
  </si>
  <si>
    <t>TC_STU_038</t>
  </si>
  <si>
    <t>Avatar cá nhân</t>
  </si>
  <si>
    <t>Đổi ảnh đại diện từ thư viện ảnh thiết bị thành công</t>
  </si>
  <si>
    <t>Thiết bị có sẵn file ảnh hợp lệ.</t>
  </si>
  <si>
    <t>1. Bấm vào icon camera trên Avatar.
2. Chọn ảnh từ thư viện thiết bị.
3. Xác nhận tải lên.</t>
  </si>
  <si>
    <t>File ảnh JPG dung lượng 2MB</t>
  </si>
  <si>
    <t>Ảnh tải lên Backend (POST /api/profile/avatar), Avatar tại trang Cá nhân và Trang chủ cập nhật tức thì.</t>
  </si>
  <si>
    <t>TC_STU_039</t>
  </si>
  <si>
    <t>Chống spam click vào nút 'Đăng ký đề tài'</t>
  </si>
  <si>
    <t>Ở màn hình chi tiết đề tài.</t>
  </si>
  <si>
    <t>1. Bấm liên tiếp 3 lần cực nhanh vào nút 'Đăng ký đề tài'.</t>
  </si>
  <si>
    <t>Spam click</t>
  </si>
  <si>
    <t>Nút hiển thị vòng quay loading và bị khóa tạm thời, chỉ gửi đúng 1 request đăng ký lên server.</t>
  </si>
  <si>
    <t>TC_STU_040</t>
  </si>
  <si>
    <t>Chặn tải lên file Avatar quá dung lượng (&gt; 10MB) hoặc sai định dạng</t>
  </si>
  <si>
    <t>Tại màn hình đổi Avatar.</t>
  </si>
  <si>
    <t>1. Cố tình chọn 1 file video .mp4 hoặc file ảnh quá 10MB.</t>
  </si>
  <si>
    <t>File &gt; 10MB</t>
  </si>
  <si>
    <t>App hiển thị cảnh báo: 'Dung lượng ảnh tối đa là 5MB và phải là định dạng JPG/PNG'. Không làm văng app.</t>
  </si>
  <si>
    <t>TC_STU_041</t>
  </si>
  <si>
    <t>Xử lý khi mất mạng trong lúc đang tải ảnh Avatar lên server</t>
  </si>
  <si>
    <t>Chọn ảnh xong bấm tải lên và ngắt mạng ngay lập tức.</t>
  </si>
  <si>
    <t>1. Ngắt kết nối mạng trong lúc upload.</t>
  </si>
  <si>
    <t>Disconnect during upload</t>
  </si>
  <si>
    <t>App xử lý ngoại lệ, thông báo 'Tải ảnh thất bại, vui lòng kiểm tra kết nối mạng', giữ nguyên avatar cũ.</t>
  </si>
  <si>
    <t>TC_STU_042</t>
  </si>
  <si>
    <t>Push Notification</t>
  </si>
  <si>
    <t>Nhận thông báo đẩy Firebase (FCM) khi app đang chạy ngầm / khóa màn hình</t>
  </si>
  <si>
    <t>Điện thoại khóa màn hình hoặc đang ở màn hình chính ngoài app.</t>
  </si>
  <si>
    <t>1. Giảng viên duyệt đề tài.
2. Quan sát màn hình điện thoại sinh viên.</t>
  </si>
  <si>
    <t>FCM Background message</t>
  </si>
  <si>
    <t>Điện thoại rung/chuông và hiện banner thông báo trên thanh trạng thái Android. Bấm vào mở đúng app.</t>
  </si>
  <si>
    <t>TC_STU_043</t>
  </si>
  <si>
    <t>Tìm kiếm</t>
  </si>
  <si>
    <t>Tìm kiếm đề tài không phân biệt chữ hoa, chữ thường và dấu tiếng Việt</t>
  </si>
  <si>
    <t>1. Nhập 'tri tue nhan tao' (không dấu).
2. Nhập 'FLUTTER' (viết hoa).</t>
  </si>
  <si>
    <t>Search không dấu &amp; viết hoa</t>
  </si>
  <si>
    <t>Vẫn tìm kiếm và lọc ra chính xác đề tài 'Trí tuệ nhân tạo' và 'Flutter mobile'.</t>
  </si>
  <si>
    <t>TC_STU_044</t>
  </si>
  <si>
    <t>Trợ lý AI</t>
  </si>
  <si>
    <t>Sao chép nội dung gợi ý của AI vào bộ nhớ tạm (Clipboard)</t>
  </si>
  <si>
    <t>AI vừa sinh ra câu trả lời.</t>
  </si>
  <si>
    <t>1. Bấm nút icon 'Sao chép' cạnh câu trả lời của AI.
2. Thử dán vào ứng dụng Ghi chú.</t>
  </si>
  <si>
    <t>Copy to clipboard</t>
  </si>
  <si>
    <t>Thông báo 'Đã sao chép nội dung vào bộ nhớ tạm', dán ra đầy đủ văn bản của AI.</t>
  </si>
  <si>
    <t>TC_STU_045</t>
  </si>
  <si>
    <t>Chat nhóm</t>
  </si>
  <si>
    <t>Mở màn hình Đoạn chat nhóm từ trang Chi tiết nhóm đồ án</t>
  </si>
  <si>
    <t>Sinh viên đã là thành viên trong nhóm đồ án, đang ở màn hình Chi tiết nhóm.</t>
  </si>
  <si>
    <t>1. Tại trang Chi tiết nhóm, bấm nút 'Đoạn chat nhóm' (icon tin nhắn).
2. Quan sát màn hình Chat được mở ra.</t>
  </si>
  <si>
    <t>groupId = 1, Tên nhóm: 'Nhóm 1 - ProGroup AI'</t>
  </si>
  <si>
    <t>Chuyển sang màn hình Chat nhóm. Header hiển thị đúng tên nhóm, badge xanh 'Cloud Firestore Realtime', icon duyệt thành viên (nếu là trưởng nhóm), danh sách tin nhắn và khung soạn thảo.</t>
  </si>
  <si>
    <t>TC_STU_046</t>
  </si>
  <si>
    <t>Hiển thị thông báo chào mừng mặc định khi phòng chat chưa có tin nhắn</t>
  </si>
  <si>
    <t>Nhóm mới tạo, chưa có bất kỳ tin nhắn nào trên Cloud Firestore.</t>
  </si>
  <si>
    <t>1. Vào màn hình Chat nhóm lần đầu tiên.
2. Quan sát khu vực hiển thị tin nhắn.</t>
  </si>
  <si>
    <t>Nhóm mới tạo</t>
  </si>
  <si>
    <t>Hiển thị bubble tin nhắn hệ thống ở giữa màn hình: 'Đoạn chat nhóm "[Tên nhóm]" đã sẵn sàng với Cloud Firestore!', thời gian 'Hôm nay'.</t>
  </si>
  <si>
    <t>TC_STU_047</t>
  </si>
  <si>
    <t>Gửi tin nhắn văn bản thành công qua Cloud Firestore Stream</t>
  </si>
  <si>
    <t>Đang ở trong phòng chat, thiết bị có kết nối Internet.</t>
  </si>
  <si>
    <t>1. Nhập văn bản 'Chào cả nhóm, tối nay họp lúc 20h nhé!' vào ô 'Nhập tin nhắn trao đổi...'.
2. Bấm nút Gửi (icon Send) hoặc phím Send trên bàn phím ảo.</t>
  </si>
  <si>
    <t>Văn bản: 'Chào cả nhóm, tối nay họp lúc 20h nhé!'</t>
  </si>
  <si>
    <t>Gọi FirebaseService.sendMessage(). Ô nhập tin nhắn được làm trống. Bubble tin nhắn màu xanh xuất hiện bên phải màn hình, nhãn thời gian 'Vừa xong'.</t>
  </si>
  <si>
    <t>TC_STU_048</t>
  </si>
  <si>
    <t>Nhận tin nhắn thời gian thực (Real-time Stream) từ thành viên khác mà không cần tải lại trang</t>
  </si>
  <si>
    <t>Hai tài khoản sinh viên cùng thuộc 1 nhóm đồ án đang mở phòng chat trên 2 thiết bị khác nhau.</t>
  </si>
  <si>
    <t>1. Sinh viên B gửi tin nhắn 'Đã nhận thông tin trưởng nhóm!'.
2. Quan sát màn hình của Sinh viên A.</t>
  </si>
  <si>
    <t>Hai thiết bị cùng phòng chat</t>
  </si>
  <si>
    <t>Sinh viên A thấy tin nhắn của Sinh viên B xuất hiện tức thời (&lt; 1 giây) ở lề bên trái (bubble trắng, tên người gửi màu tím/xanh đậm, thời gian 'Vừa xong') mà không cần vuốt refresh.</t>
  </si>
  <si>
    <t>TC_STU_049</t>
  </si>
  <si>
    <t>Chặn gửi tin nhắn rỗng hoặc chuỗi chỉ chứa khoảng trắng (Whitespace validation)</t>
  </si>
  <si>
    <t>Tại màn hình Chat nhóm.</t>
  </si>
  <si>
    <t>1. Không nhập gì hoặc chỉ nhập một chuỗi toàn dấu cách '   '.
2. Bấm nút Gửi hoặc phím Send trên bàn phím.</t>
  </si>
  <si>
    <t>Chuỗi: '   '</t>
  </si>
  <si>
    <t>Hàm _sendMessage() chặn thao tác (return ngay), không gửi dữ liệu lên Firestore, không sinh ra bubble rỗng trên màn hình.</t>
  </si>
  <si>
    <t>TC_STU_050</t>
  </si>
  <si>
    <t>Tự động cuộn xuống cuối màn hình (Auto-scroll to bottom) khi có tin nhắn mới</t>
  </si>
  <si>
    <t>Phòng chat có lịch sử tin nhắn dài vượt quá chiều cao màn hình hiển thị.</t>
  </si>
  <si>
    <t>1. Người dùng đang cuộn lên để đọc tin nhắn cũ.
2. Có tin nhắn mới được gửi đến hoặc bản thân vừa gửi 1 tin nhắn mới.</t>
  </si>
  <si>
    <t>Lịch sử &gt; 25 tin nhắn</t>
  </si>
  <si>
    <t>ScrollController tự động animate mượt mà cuộn xuống đáy danh sách (maxScrollExtent) trong 250ms.</t>
  </si>
  <si>
    <t>TC_STU_051</t>
  </si>
  <si>
    <t>Hiển thị thẻ Yêu cầu tham gia nhóm (Join Request Card) trực tiếp trong luồng chat</t>
  </si>
  <si>
    <t>Có sinh viên gửi yêu cầu xin gia nhập nhóm đồ án qua tính năng Tìm nhóm.</t>
  </si>
  <si>
    <t>1. Mở màn hình chat của nhóm.
2. Quan sát danh sách tin nhắn.</t>
  </si>
  <si>
    <t>Tin nhắn loại 'join_request'</t>
  </si>
  <si>
    <t>Hiển thị thẻ Card tương tác đặc biệt: Tiêu đề 'Yêu cầu xin gia nhập nhóm', họ tên SV + MSSV, badge 'Chờ duyệt' (vàng cam), và 2 nút: 'Duyệt tham gia' (xanh lá) &amp; 'Từ chối' (đỏ).</t>
  </si>
  <si>
    <t>TC_STU_052</t>
  </si>
  <si>
    <t>Trưởng nhóm bấm 'Duyệt tham gia' trực tiếp từ thẻ yêu cầu trong khung chat</t>
  </si>
  <si>
    <t>Đăng nhập tài khoản Trưởng nhóm, thấy thẻ yêu cầu đang ở trạng thái 'Chờ duyệt'.</t>
  </si>
  <si>
    <t>1. Trưởng nhóm bấm nút 'Duyệt tham gia' trên thẻ yêu cầu trong chat.
2. Quan sát giao diện và thông báo.</t>
  </si>
  <si>
    <t>Action: _approveJoinRequestInChat()</t>
  </si>
  <si>
    <t>Gọi Firestore cập nhật status='Đã chấp nhận'. Thẻ chuyển sang viền xanh lá, 2 nút duyệt ẩn đi. Tự động gửi tin nhắn hệ thống 'Trưởng nhóm đã duyệt yêu cầu. [Tên SV] đã tham gia nhóm!'. Hiển thị SnackBar thành công.</t>
  </si>
  <si>
    <t>TC_STU_053</t>
  </si>
  <si>
    <t>Trưởng nhóm bấm 'Từ chối' yêu cầu tham gia trực tiếp từ thẻ yêu cầu trong khung chat</t>
  </si>
  <si>
    <t>1. Trưởng nhóm bấm nút 'Từ chối' (màu đỏ) trên thẻ yêu cầu.
2. Quan sát giao diện.</t>
  </si>
  <si>
    <t>Action: _rejectJoinRequestInChat()</t>
  </si>
  <si>
    <t>Gọi Firestore cập nhật status='Đã từ chối'. Thẻ chuyển badge sang 'Đã từ chối', các nút hành động ẩn đi. Hiển thị SnackBar 'Đã từ chối yêu cầu tham gia của [Tên SV]'.</t>
  </si>
  <si>
    <t>TC_STU_054</t>
  </si>
  <si>
    <t>Chế độ ngoại tuyến (Offline fallback): Gửi tin nhắn khi mất mạng hoặc Firebase chưa sẵn sàng</t>
  </si>
  <si>
    <t>Thiết bị bị ngắt kết nối mạng hoặc Firebase chưa hoàn tất khởi tạo.</t>
  </si>
  <si>
    <t>1. Bật chế độ máy bay trên thiết bị.
2. Nhập nội dung tin nhắn và bấm Gửi.</t>
  </si>
  <si>
    <t>Network: Offline</t>
  </si>
  <si>
    <t>Ứng dụng kích hoạt nhánh Fallback cục bộ: Tin nhắn được đưa vào danh sách messages cục bộ với thời gian hiện tại 'HH:mm', không crash app, không freeze giao diện.</t>
  </si>
  <si>
    <t>TC_STU_055</t>
  </si>
  <si>
    <t>Định dạng hiển thị thời gian tin nhắn chuẩn xác theo logic tương đối và tuyệt đối</t>
  </si>
  <si>
    <t>Trong phòng chat có các tin nhắn gửi ở nhiều mốc thời gian khác nhau.</t>
  </si>
  <si>
    <t>1. Quan sát nhãn thời gian bên dưới từng bubble tin nhắn.</t>
  </si>
  <si>
    <t>&lt;60s, &lt;60m, trong ngày, khác ngày</t>
  </si>
  <si>
    <t>Hiển thị đúng: Gửi &lt; 60 giây -&gt; 'Vừa xong'; Gửi 1-59 phút -&gt; 'X phút trước'; Gửi cùng ngày -&gt; 'HH:mm'; Gửi khác ngày -&gt; 'DD/MM HH:mm'.</t>
  </si>
  <si>
    <t>TC_STU_056</t>
  </si>
  <si>
    <t>Điều hướng đến màn hình Duyệt yêu cầu tập trung từ icon trên AppBar</t>
  </si>
  <si>
    <t>Đang ở trong phòng Chat nhóm với tư cách Trưởng nhóm.</t>
  </si>
  <si>
    <t>1. Bấm vào icon 'how_to_reg_rounded' trên góc phải AppBar.
2. Quan sát màn hình được mở ra.</t>
  </si>
  <si>
    <t>groupId != null</t>
  </si>
  <si>
    <t>Điều hướng sang JoinRequestScreen với danh sách chi tiết tất cả sinh viên xin gia nhập nhóm, hỗ trợ tìm kiếm và duyệt hàng loạt.</t>
  </si>
  <si>
    <t>TC_STU_057</t>
  </si>
  <si>
    <t>Hiển thị tin nhắn văn bản dài nhiều dòng, emoji và ký tự đặc biệt</t>
  </si>
  <si>
    <t>1. Nhập tin nhắn dài 5 dòng kèm nhiều emoji (🔥, 🚀, 💻, 🎯) và ký tự đặc biệt (&amp;, &lt;, &gt;, ', ").
2. Bấm Gửi.</t>
  </si>
  <si>
    <t>Văn bản nhiều dòng + Emoji phong phú</t>
  </si>
  <si>
    <t>Bubble tin nhắn tự động co giãn kích thước linh hoạt (maxWidth: 320), xuống dòng tự nhiên, emoji hiển thị sắc nét, không bị lỗi render hoặc vỡ giao diện (RenderFlex overflow).</t>
  </si>
  <si>
    <t>📋 KỊCH BẢN KIỂM THỬ PHÂN HỆ GIẢNG VIÊN (LECTURER MODULE)</t>
  </si>
  <si>
    <t>TC_LEC_001</t>
  </si>
  <si>
    <t>Trang chủ GV</t>
  </si>
  <si>
    <t>Hiển thị lời chào, học vị và thống kê tổng quan</t>
  </si>
  <si>
    <t>Đăng nhập gv001.</t>
  </si>
  <si>
    <t>1. Vào Trang chủ Giảng viên.
2. Quan sát các thẻ thống kê.</t>
  </si>
  <si>
    <t>GET /api/lecturer/statistics</t>
  </si>
  <si>
    <t>Hiển thị lời chào: 'Xin chào, ThS. Nguyễn Văn A', thẻ: Lớp học phụ trách, Đề tài đã tạo, Nhóm cần duyệt.</t>
  </si>
  <si>
    <t>TC_LEC_002</t>
  </si>
  <si>
    <t>Xem danh sách các LHP được phân công giảng dạy</t>
  </si>
  <si>
    <t>Giảng viên có ít nhất 1 LHP.</t>
  </si>
  <si>
    <t>1. Vào tab 'Lớp học phần'.
2. Xem danh sách.</t>
  </si>
  <si>
    <t>GET /api/lecturer/courses</t>
  </si>
  <si>
    <t>Hiển thị danh sách card LHP: Mã lớp, Tên môn, Học kỳ, Số lượng sinh viên, Đợt đăng ký tương ứng.</t>
  </si>
  <si>
    <t>TC_LEC_003</t>
  </si>
  <si>
    <t>Chi tiết LHP</t>
  </si>
  <si>
    <t>Xem danh sách nhóm sinh viên trong một LHP cụ thể</t>
  </si>
  <si>
    <t>Tại danh sách LHP của GV.</t>
  </si>
  <si>
    <t>1. Bấm vào một LHP cụ thể.
2. Chuyển sang tab 'Nhóm sinh viên'.</t>
  </si>
  <si>
    <t>Hiển thị danh sách tất cả các nhóm trong lớp, trưởng nhóm, sĩ số nhóm, đề tài nhóm đã đăng ký.</t>
  </si>
  <si>
    <t>TC_LEC_004</t>
  </si>
  <si>
    <t>Xem danh sách đề tài thuộc về LHP</t>
  </si>
  <si>
    <t>Ở màn hình chi tiết LHP.</t>
  </si>
  <si>
    <t>1. Chuyển sang tab 'Đề tài'.</t>
  </si>
  <si>
    <t>Hiển thị danh sách các đề tài đã công bố cho lớp này và tiến độ đăng ký của từng đề tài.</t>
  </si>
  <si>
    <t>TC_LEC_005</t>
  </si>
  <si>
    <t>Tạo đề tài</t>
  </si>
  <si>
    <t>Giảng viên tạo đề tài mới thành công cho đợt đăng ký</t>
  </si>
  <si>
    <t>Có đợt đăng ký đang mở.</t>
  </si>
  <si>
    <t>1. Bấm nút 'Thêm đề tài'.
2. Nhập: Tên đề tài, Mục tiêu, Phạm vi, Công nghệ đề xuất.
3. Chọn Đợt đăng ký.
4. Bấm 'Lưu đề tài'.</t>
  </si>
  <si>
    <t>POST /api/de-tai</t>
  </si>
  <si>
    <t>Tạo thành công, đề tài xuất hiện trong danh sách của GV và hiển thị cho sinh viên đăng ký.</t>
  </si>
  <si>
    <t>TC_LEC_006</t>
  </si>
  <si>
    <t>Validate đề tài</t>
  </si>
  <si>
    <t>Báo lỗi khi tạo đề tài để trống Tên đề tài hoặc Mục tiêu</t>
  </si>
  <si>
    <t>Ở form tạo đề tài.</t>
  </si>
  <si>
    <t>1. Để trống Tên đề tài.
2. Bấm 'Lưu đề tài'.</t>
  </si>
  <si>
    <t>Hiển thị thông báo: 'Tên đề tài không được để trống'. Không gửi request.</t>
  </si>
  <si>
    <t>TC_LEC_007</t>
  </si>
  <si>
    <t>Sửa đề tài</t>
  </si>
  <si>
    <t>Chỉnh sửa nội dung đề tài chưa có nhóm đăng ký</t>
  </si>
  <si>
    <t>Đề tài chưa có nhóm nào đăng ký.</t>
  </si>
  <si>
    <t>1. Chọn đề tài trong danh sách.
2. Bấm icon chỉnh sửa.
3. Sửa mục tiêu và công nghệ.
4. Bấm 'Lưu'.</t>
  </si>
  <si>
    <t>PUT /api/de-tai/{id}</t>
  </si>
  <si>
    <t>Cập nhật thành công thông tin đề tài, sinh viên thấy thông tin mới.</t>
  </si>
  <si>
    <t>TC_LEC_008</t>
  </si>
  <si>
    <t>Cảnh báo khi sửa đề tài đã có nhóm đăng ký được duyệt</t>
  </si>
  <si>
    <t>Đề tài đã có nhóm được duyệt chính thức.</t>
  </si>
  <si>
    <t>1. Thử sửa tên đề tài.</t>
  </si>
  <si>
    <t>Đề tài đã có nhóm</t>
  </si>
  <si>
    <t>Hệ thống hiển thị cảnh báo đề tài đã có nhóm nhận, yêu cầu xác nhận kỹ hoặc khóa sửa tên chính.</t>
  </si>
  <si>
    <t>TC_LEC_009</t>
  </si>
  <si>
    <t>Xóa đề tài</t>
  </si>
  <si>
    <t>Xóa đề tài thành công khi chưa có nhóm đăng ký</t>
  </si>
  <si>
    <t>Đề tài chưa có nhóm đăng ký.</t>
  </si>
  <si>
    <t>1. Tại card đề tài, bấm nút 'Xóa'.
2. Xác nhận 'Đồng ý xóa'.</t>
  </si>
  <si>
    <t>DELETE /api/de-tai/{id}</t>
  </si>
  <si>
    <t>Xóa thành công, đề tài biến mất khỏi danh sách.</t>
  </si>
  <si>
    <t>TC_LEC_010</t>
  </si>
  <si>
    <t>Chặn không cho xóa đề tài đã có nhóm được duyệt</t>
  </si>
  <si>
    <t>Đề tài đã có nhóm được duyệt.</t>
  </si>
  <si>
    <t>1. Thử bấm xóa đề tài.</t>
  </si>
  <si>
    <t>Đề tài có nhóm</t>
  </si>
  <si>
    <t>Báo lỗi: 'Không thể xóa đề tài đã có nhóm sinh viên đăng ký chính thức'.</t>
  </si>
  <si>
    <t>TC_LEC_011</t>
  </si>
  <si>
    <t>Duyệt đề tài</t>
  </si>
  <si>
    <t>Phê duyệt đơn đăng ký đề tài của Nhóm sinh viên</t>
  </si>
  <si>
    <t>Có đơn đăng ký ở trạng thái 'Chờ duyệt'.</t>
  </si>
  <si>
    <t>1. Vào mục 'Duyệt đăng ký đề tài'.
2. Xem thông tin nhóm đăng ký.
3. Bấm nút 'Phê duyệt'.</t>
  </si>
  <si>
    <t>PUT /api/dang-ky-de-tai/{id}/duyet {chap_nhan: true}</t>
  </si>
  <si>
    <t>Trạng thái đơn chuyển thành 'Đã duyệt'. Tự động gửi thông báo chúc mừng tới các thành viên trong nhóm.</t>
  </si>
  <si>
    <t>TC_LEC_012</t>
  </si>
  <si>
    <t>Từ chối đề tài</t>
  </si>
  <si>
    <t>Từ chối đơn đăng ký đề tài kèm lý do phản hồi</t>
  </si>
  <si>
    <t>1. Chọn đơn đăng ký.
2. Bấm nút 'Từ chối'.
3. Nhập lý do: 'Đề tài đã đủ số lượng / Cần chọn đề tài khác'.
4. Xác nhận.</t>
  </si>
  <si>
    <t>PUT /api/dang-ky-de-tai/{id}/duyet {chap_nhan: false, ghiChu: '...'}</t>
  </si>
  <si>
    <t>Đơn chuyển sang 'Từ chối'. Gửi thông báo kèm lý do cho nhóm sinh viên, nhóm được giải phóng để đăng ký lại.</t>
  </si>
  <si>
    <t>TC_LEC_013</t>
  </si>
  <si>
    <t>Duyệt đề xuất</t>
  </si>
  <si>
    <t>Xem danh sách các đề tài do Sinh viên tự đề xuất</t>
  </si>
  <si>
    <t>Có sinh viên gửi đề xuất đề tài.</t>
  </si>
  <si>
    <t>1. Vào mục 'Đề xuất từ sinh viên'.
2. Xem danh sách các đề xuất đang chờ duyệt.</t>
  </si>
  <si>
    <t>GET /api/de-tai?nguonDeTai=SinhVienDeXuat</t>
  </si>
  <si>
    <t>Hiển thị danh sách đề xuất: Tên đề tài, Nhóm đề xuất, Mô tả, Mục tiêu, Công nghệ.</t>
  </si>
  <si>
    <t>TC_LEC_014</t>
  </si>
  <si>
    <t>Phê duyệt đề tài đề xuất của Sinh viên</t>
  </si>
  <si>
    <t>Có đề xuất đang chờ duyệt.</t>
  </si>
  <si>
    <t>1. Chọn đề xuất.
2. Bấm 'Chấp nhận đề xuất'.
3. Xác nhận.</t>
  </si>
  <si>
    <t>PUT /api/de-tai/{id}/duyet {chap_nhan: true}</t>
  </si>
  <si>
    <t>Đề xuất chuyển thành Đề tài chính thức được duyệt của nhóm, cập nhật vào danh sách đề tài của LHP.</t>
  </si>
  <si>
    <t>TC_LEC_015</t>
  </si>
  <si>
    <t>Từ chối đề xuất</t>
  </si>
  <si>
    <t>Từ chối đề xuất của Sinh viên kèm góp ý chỉnh sửa</t>
  </si>
  <si>
    <t>1. Bấm 'Từ chối đề xuất'.
2. Nhập góp ý: 'Phạm vi đề tài quá rộng, cần thu hẹp lại'.
3. Bấm xác nhận.</t>
  </si>
  <si>
    <t>PUT /api/de-tai/{id}/duyet {chap_nhan: false, lyDoTuChoi: '...'}</t>
  </si>
  <si>
    <t>Trạng thái chuyển thành 'Từ chối', sinh viên nhận được thông báo kèm góp ý của GV.</t>
  </si>
  <si>
    <t>TC_LEC_016</t>
  </si>
  <si>
    <t>Chấm báo cáo</t>
  </si>
  <si>
    <t>Xem danh sách các nhóm đã nộp báo cáo tiến độ</t>
  </si>
  <si>
    <t>Có nhóm đã nộp báo cáo tiến độ.</t>
  </si>
  <si>
    <t>1. Vào mục 'Chấm báo cáo tiến độ'.
2. Chọn mốc báo cáo (Tuần 4).
3. Xem danh sách bài nộp.</t>
  </si>
  <si>
    <t>Hiển thị danh sách nhóm đã nộp, thời gian nộp, link tài liệu đính kèm.</t>
  </si>
  <si>
    <t>TC_LEC_017</t>
  </si>
  <si>
    <t>Chấm điểm và nhận xét báo cáo tiến độ của nhóm</t>
  </si>
  <si>
    <t>Tại màn hình chấm bài của một nhóm.</t>
  </si>
  <si>
    <t>1. Xem link báo cáo của nhóm.
2. Đánh giá: Chọn 'Đạt'.
3. Nhập Điểm: '8.5'.
4. Nhập Nhận xét: 'Tiến độ tốt, cần bổ sung testcase'.
5. Bấm 'Lưu đánh giá'.</t>
  </si>
  <si>
    <t>Điểm: 8.5 | Nhận xét chi tiết</t>
  </si>
  <si>
    <t>Lưu kết quả thành công, sinh viên nhận được thông báo điểm và nhận xét của GV.</t>
  </si>
  <si>
    <t>TC_LEC_018</t>
  </si>
  <si>
    <t>Validate điểm</t>
  </si>
  <si>
    <t>Báo lỗi khi nhập điểm không hợp lệ (ngoài khoảng 0 - 10)</t>
  </si>
  <si>
    <t>Ở form chấm điểm báo cáo.</t>
  </si>
  <si>
    <t>1. Nhập điểm: '15.0' hoặc '-2.0'.
2. Bấm 'Lưu đánh giá'.</t>
  </si>
  <si>
    <t>Điểm: 15.0</t>
  </si>
  <si>
    <t>Báo lỗi: 'Điểm số phải nằm trong khoảng từ 0.0 đến 10.0'. Không cho lưu.</t>
  </si>
  <si>
    <t>TC_LEC_019</t>
  </si>
  <si>
    <t>Mở đợt đăng ký</t>
  </si>
  <si>
    <t>Tạo đợt đăng ký đồ án mới cho Lớp học phần</t>
  </si>
  <si>
    <t>LHP chưa có đợt đăng ký đang mở.</t>
  </si>
  <si>
    <t>1. Vào chi tiết LHP &gt; Bấm 'Mở đợt đăng ký'.
2. Nhập Tên đợt: 'Đợt 1 - Học kỳ 1 2026'.
3. Chọn Ngày bắt đầu và Ngày kết thúc.
4. Thiết lập Số thành viên min: 2, max: 4.
5. Bấm 'Kích hoạt đợt'.</t>
  </si>
  <si>
    <t>POST /api/dot-dang-ky</t>
  </si>
  <si>
    <t>Tạo đợt đăng ký thành công, trạng thái 'Đang mở'. Sinh viên có thể bắt đầu đăng ký.</t>
  </si>
  <si>
    <t>TC_LEC_020</t>
  </si>
  <si>
    <t>Validate đợt</t>
  </si>
  <si>
    <t>Báo lỗi khi Ngày kết thúc trước Ngày bắt đầu</t>
  </si>
  <si>
    <t>Ở form tạo đợt đăng ký.</t>
  </si>
  <si>
    <t>1. Chọn Ngày bắt đầu: 20/11/2026.
2. Chọn Ngày kết thúc: 10/11/2026.
3. Bấm Lưu.</t>
  </si>
  <si>
    <t>End Date &lt; Start Date</t>
  </si>
  <si>
    <t>Báo lỗi: 'Ngày kết thúc phải diễn ra sau ngày bắt đầu'.</t>
  </si>
  <si>
    <t>TC_LEC_021</t>
  </si>
  <si>
    <t>Đóng đợt</t>
  </si>
  <si>
    <t>Chuyển trạng thái đợt đăng ký sang 'Đã đóng'</t>
  </si>
  <si>
    <t>Đợt đăng ký đang ở trạng thái 'Đang mở'.</t>
  </si>
  <si>
    <t>1. Vào quản lý đợt đăng ký.
2. Đổi trạng thái sang 'Đã đóng'.
3. Xác nhận.</t>
  </si>
  <si>
    <t>PUT /api/dot-dang-ky/{id}/trang-thai {'trangThai': 'DaDong'}</t>
  </si>
  <si>
    <t>Đợt chuyển sang 'Đã đóng'. Sinh viên không thể đăng ký thêm đề tài mới nữa.</t>
  </si>
  <si>
    <t>TC_LEC_022</t>
  </si>
  <si>
    <t>AI Hỗ trợ GV</t>
  </si>
  <si>
    <t>Giảng viên dùng AI Gemini tạo danh sách đề tài mẫu</t>
  </si>
  <si>
    <t>Tại màn hình Ngân hàng đề tài của GV.</t>
  </si>
  <si>
    <t>1. Bấm 'AI sinh đề tài mẫu'.
2. Chọn chuyên ngành: 'Kỹ thuật phần mềm'.
3. Bấm 'Tạo đề tài'.</t>
  </si>
  <si>
    <t>Gemini AI Topic Generator</t>
  </si>
  <si>
    <t>AI sinh ra danh sách đề tài chuẩn mực, GV có thể bấm 'Chọn dùng đề tài này' để nạp thẳng vào danh sách.</t>
  </si>
  <si>
    <t>TC_LEC_023</t>
  </si>
  <si>
    <t>Thống kê LHP</t>
  </si>
  <si>
    <t>Xem biểu đồ tiến độ đăng ký của các nhóm trong LHP</t>
  </si>
  <si>
    <t>LHP đã có nhiều nhóm đăng ký đề tài.</t>
  </si>
  <si>
    <t>1. Vào mục 'Thống kê LHP'.
2. Quan sát biểu đồ tiến độ.</t>
  </si>
  <si>
    <t>Hiển thị tỷ lệ % nhóm đã có đề tài chính thức, số nhóm đang chờ duyệt, số nhóm chưa đăng ký.</t>
  </si>
  <si>
    <t>TC_LEC_024</t>
  </si>
  <si>
    <t>Thông báo GV</t>
  </si>
  <si>
    <t>Nhận thông báo khi có sinh viên nộp báo cáo hoặc gửi đề xuất</t>
  </si>
  <si>
    <t>Có sinh viên vừa nộp báo cáo.</t>
  </si>
  <si>
    <t>1. Vào mục Thông báo của GV.
2. Quan sát thông báo mới.</t>
  </si>
  <si>
    <t>Hiện thông báo: 'Nhóm [Tên nhóm] vừa nộp báo cáo tiến độ Tuần 4'.</t>
  </si>
  <si>
    <t>TC_LEC_025</t>
  </si>
  <si>
    <t>Hồ sơ Giảng viên</t>
  </si>
  <si>
    <t>Xem và cập nhật Chuyên môn, Học vị của Giảng viên</t>
  </si>
  <si>
    <t>1. Vào trang Cá nhân.
2. Xem thông tin: Mã GV, Học vị, Chuyên môn.
3. Cập nhật Số điện thoại liên hệ.</t>
  </si>
  <si>
    <t>Cập nhật thành công, số liệu đồng bộ chính xác.</t>
  </si>
  <si>
    <t>TC_LEC_026</t>
  </si>
  <si>
    <t>Đồng thời</t>
  </si>
  <si>
    <t>Xử lý xung đột đồng thời (Race condition) khi 2 nhóm cùng đăng ký 1 slot cuối cùng</t>
  </si>
  <si>
    <t>Đề tài chỉ còn đúng 1 slot đăng ký duy nhất.</t>
  </si>
  <si>
    <t>1. Hai nhóm bấm nút 'Đăng ký đề tài' gần như cùng 1 giây.</t>
  </si>
  <si>
    <t>Concurrent POST</t>
  </si>
  <si>
    <t>Nhóm bấm trước được ghi nhận thành công, nhóm bấm sau nhận thông báo 'Đề tài vừa hết chỗ'. Không bị ghi đè dữ liệu.</t>
  </si>
  <si>
    <t>TC_LEC_027</t>
  </si>
  <si>
    <t>Chặn chọn Ngày bắt đầu của đợt đăng ký trong quá khứ</t>
  </si>
  <si>
    <t>1. Cố tình chọn Ngày bắt đầu là 1 ngày trước hôm nay.
2. Bấm 'Kích hoạt đợt'.</t>
  </si>
  <si>
    <t>Start Date in past</t>
  </si>
  <si>
    <t>Hệ thống cảnh báo: 'Ngày bắt đầu không được ở trong quá khứ'.</t>
  </si>
  <si>
    <t>TC_LEC_028</t>
  </si>
  <si>
    <t>Nhập điểm báo cáo bằng số thập phân (8.25 hoặc 9.5) và kiểm tra tính toán</t>
  </si>
  <si>
    <t>1. Nhập điểm: '8.75'.
2. Bấm 'Lưu đánh giá'.</t>
  </si>
  <si>
    <t>Điểm: 8.75</t>
  </si>
  <si>
    <t>Lưu đúng giá trị số thực 8.75 vào CSDL, hiển thị chính xác trên màn hình sinh viên.</t>
  </si>
  <si>
    <t>TC_LEC_029</t>
  </si>
  <si>
    <t>Bộ lọc đề tài</t>
  </si>
  <si>
    <t>Lọc đề tài theo Học kỳ và Lớp học phần đang phụ trách</t>
  </si>
  <si>
    <t>Giảng viên phụ trách nhiều lớp khác nhau.</t>
  </si>
  <si>
    <t>1. Chọn lọc theo 'LHP Lập trình Di động'.
2. Chọn lọc theo 'LHP Công nghệ phần mềm'.</t>
  </si>
  <si>
    <t>Filter by course</t>
  </si>
  <si>
    <t>Danh sách đề tài chuyển đổi chuẩn xác tương ứng với từng môn học đã chọn.</t>
  </si>
  <si>
    <t>TC_LEC_030</t>
  </si>
  <si>
    <t>Export bảng điểm</t>
  </si>
  <si>
    <t>Xem danh sách tổng hợp điểm tiến độ của toàn bộ các nhóm trong lớp</t>
  </si>
  <si>
    <t>LHP đã chấm xong ít nhất 1 mốc báo cáo.</t>
  </si>
  <si>
    <t>1. Vào mục 'Bảng điểm tiến độ LHP'.
2. Xem cột điểm của các nhóm.</t>
  </si>
  <si>
    <t>Bảng điểm tiến độ</t>
  </si>
  <si>
    <t>Hiển thị đầy đủ danh sách nhóm kèm điểm từng giai đoạn và điểm trung bình tiến độ.</t>
  </si>
  <si>
    <t>📋 KỊCH BẢN KIỂM THỬ PHÂN HỆ GIÁO VỤ KHOA (FACULTY GOVERNANCE)</t>
  </si>
  <si>
    <t>TC_GVK_001</t>
  </si>
  <si>
    <t>Dashboard Khoa</t>
  </si>
  <si>
    <t>Hiển thị số liệu tổng quan đào tạo của khoa CNTT</t>
  </si>
  <si>
    <t>Đăng nhập tài khoản gvk.demo.</t>
  </si>
  <si>
    <t>1. Vào Dashboard Giáo vụ khoa.
2. Quan sát các Stat Card.</t>
  </si>
  <si>
    <t>GET /api/admin/overview</t>
  </si>
  <si>
    <t>Hiển thị đúng tổng số: LHP thuộc khoa, Số sinh viên khoa, Số giảng viên khoa, Số nhóm đồ án đang hoạt động.</t>
  </si>
  <si>
    <t>TC_GVK_002</t>
  </si>
  <si>
    <t>Làm mới dữ liệu Dashboard khoa bằng thao tác kéo (Pull-to-refresh)</t>
  </si>
  <si>
    <t>Tại Dashboard Giáo vụ.</t>
  </si>
  <si>
    <t>1. Kéo màn hình từ trên xuống dưới.
2. Thả tay để reload.</t>
  </si>
  <si>
    <t>Pull-to-refresh</t>
  </si>
  <si>
    <t>Icon loading xoay tròn, tải lại số liệu mới nhất từ CSDL thành công.</t>
  </si>
  <si>
    <t>TC_GVK_003</t>
  </si>
  <si>
    <t>Quản lý LHP</t>
  </si>
  <si>
    <t>Xem danh mục tất cả Lớp học phần do Khoa quản lý</t>
  </si>
  <si>
    <t>Khoa có ít nhất 3 LHP được mở.</t>
  </si>
  <si>
    <t>1. Vào tab 'Quản lý LHP'.
2. Quan sát danh sách card LHP.</t>
  </si>
  <si>
    <t>GET /api/lop-hoc-phan</t>
  </si>
  <si>
    <t>Hiển thị đầy đủ: Mã lớp, Tên môn học, Học kỳ, Tên giảng viên phụ trách, Tình trạng phân công, Sĩ số sinh viên.</t>
  </si>
  <si>
    <t>TC_GVK_004</t>
  </si>
  <si>
    <t>Tìm kiếm LHP</t>
  </si>
  <si>
    <t>Tìm kiếm LHP theo Mã môn hoặc Tên môn trong khoa</t>
  </si>
  <si>
    <t>Tại danh sách LHP của Giáo vụ.</t>
  </si>
  <si>
    <t>1. Nhập từ khóa 'Di động' vào ô tìm kiếm.
2. Nhập mã môn 'IT301'.</t>
  </si>
  <si>
    <t>Search: 'Di động' / 'IT301'</t>
  </si>
  <si>
    <t>Danh sách lập tức lọc chính xác các LHP khớp từ khóa tìm kiếm.</t>
  </si>
  <si>
    <t>TC_GVK_005</t>
  </si>
  <si>
    <t>Lọc LHP</t>
  </si>
  <si>
    <t>Lọc danh sách LHP theo Học kỳ niên khóa</t>
  </si>
  <si>
    <t>1. Chọn lọc theo 'Học kỳ 1 2026-2027'.
2. Chọn lọc theo 'Học kỳ 2 2026-2027'.</t>
  </si>
  <si>
    <t>Filter by Semester</t>
  </si>
  <si>
    <t>Chỉ hiển thị các LHP được mở trong học kỳ đã chọn.</t>
  </si>
  <si>
    <t>TC_GVK_006</t>
  </si>
  <si>
    <t>Xem thông tin chi tiết một LHP khoa (Danh sách SV và Nhóm)</t>
  </si>
  <si>
    <t>1. Bấm vào một LHP cụ thể.
2. Xem chi tiết danh sách sinh viên ghi danh và các nhóm đồ án.</t>
  </si>
  <si>
    <t>Hiển thị đầy đủ danh sách sinh viên trong lớp, danh sách các nhóm đã thành lập và đề tài tương ứng.</t>
  </si>
  <si>
    <t>TC_GVK_007</t>
  </si>
  <si>
    <t>Phân công GV</t>
  </si>
  <si>
    <t>Phân công Giảng viên phụ trách Lớp học phần thành công</t>
  </si>
  <si>
    <t>Có LHP chưa được phân công giảng viên.</t>
  </si>
  <si>
    <t>1. Vào mục 'Phân công giảng viên'.
2. Chọn LHP: 'Phát triển ứng dụng di động'.
3. Chọn Giảng viên: 'ThS. Nguyễn Văn A'.
4. Bấm 'Xác nhận phân công'.</t>
  </si>
  <si>
    <t>POST /api/governance/assignments</t>
  </si>
  <si>
    <t>Phân công thành công, hiển thị tên Giảng viên trên card LHP và gửi thông báo tới tài khoản GV.</t>
  </si>
  <si>
    <t>TC_GVK_008</t>
  </si>
  <si>
    <t>Chặn phân công trùng lặp cùng 1 giảng viên 2 lần vào 1 LHP</t>
  </si>
  <si>
    <t>GV A đã được phân công vào LHP X.</t>
  </si>
  <si>
    <t>1. Thử chọn lại GV A để phân công vào LHP X lần nữa.</t>
  </si>
  <si>
    <t>Duplicate assignment</t>
  </si>
  <si>
    <t>Hệ thống báo cảnh báo: 'Giảng viên này đã được phân công cho lớp học phần từ trước'.</t>
  </si>
  <si>
    <t>TC_GVK_009</t>
  </si>
  <si>
    <t>Đổi phân công</t>
  </si>
  <si>
    <t>Thay đổi Giảng viên phụ trách LHP sang Giảng viên khác</t>
  </si>
  <si>
    <t>LHP đang có GV A phụ trách.</t>
  </si>
  <si>
    <t>1. Chọn LHP cần đổi GV.
2. Bấm 'Đổi giảng viên'.
3. Chọn GV B và bấm Xác nhận.</t>
  </si>
  <si>
    <t>PUT /api/governance/assignments</t>
  </si>
  <si>
    <t>Cập nhật thành công GV B phụ trách lớp. GV B đăng nhập vào sẽ thấy lớp này.</t>
  </si>
  <si>
    <t>TC_GVK_010</t>
  </si>
  <si>
    <t>Hủy phân công</t>
  </si>
  <si>
    <t>Hủy phân công giảng viên khỏi LHP khi chưa có nhóm đăng ký</t>
  </si>
  <si>
    <t>LHP chưa bắt đầu làm đồ án.</t>
  </si>
  <si>
    <t>1. Chọn 'Hủy phân công giảng viên'.
2. Xác nhận hủy.</t>
  </si>
  <si>
    <t>DELETE /api/governance/assignments</t>
  </si>
  <si>
    <t>Hủy thành công, LHP quay về trạng thái 'Chưa phân công giảng viên'.</t>
  </si>
  <si>
    <t>TC_GVK_011</t>
  </si>
  <si>
    <t>Đồng bộ GV</t>
  </si>
  <si>
    <t>Kiểm tra Giảng viên được phân công thấy lớp ngay trên tài khoản của mình</t>
  </si>
  <si>
    <t>Vừa phân công GV A vào LHP mới.</t>
  </si>
  <si>
    <t>1. Đăng xuất tài khoản Giáo vụ.
2. Đăng nhập tài khoản GV A.
3. Kiểm tra tab 'Lớp học phần'.</t>
  </si>
  <si>
    <t>User: gv001</t>
  </si>
  <si>
    <t>LHP mới lập tức xuất hiện trong danh sách phụ trách của Giảng viên A.</t>
  </si>
  <si>
    <t>TC_GVK_012</t>
  </si>
  <si>
    <t>Giám sát đăng ký</t>
  </si>
  <si>
    <t>Xem màn hình Giám sát tổng quan đăng ký đồ án toàn khoa</t>
  </si>
  <si>
    <t>Tại menu Giáo vụ.</t>
  </si>
  <si>
    <t>1. Vào mục 'Giám sát đăng ký đồ án'.
2. Quan sát bảng số liệu.</t>
  </si>
  <si>
    <t>GET /api/dang-ky-de-tai</t>
  </si>
  <si>
    <t>Hiển thị tổng số nhóm đã đăng ký, số nhóm đã được duyệt, số nhóm chưa có đề tài theo từng môn.</t>
  </si>
  <si>
    <t>TC_GVK_013</t>
  </si>
  <si>
    <t>Thống kê đề tài</t>
  </si>
  <si>
    <t>Xem báo cáo danh mục đề tài toàn khoa theo từng bộ môn</t>
  </si>
  <si>
    <t>Có nhiều đề tài đã công bố trong khoa.</t>
  </si>
  <si>
    <t>1. Vào mục 'Báo cáo đề tài khoa'.
2. Xem số lượng đề tài do GV ra đề và do SV đề xuất.</t>
  </si>
  <si>
    <t>Báo cáo đề tài khoa</t>
  </si>
  <si>
    <t>Thống kê rõ ràng tỷ lệ đề tài do GV đề xuất (80%) và SV tự đề xuất (20%), tỷ lệ duyệt thành công.</t>
  </si>
  <si>
    <t>TC_GVK_014</t>
  </si>
  <si>
    <t>Danh sách SV</t>
  </si>
  <si>
    <t>Tra cứu danh sách toàn bộ Sinh viên trong khoa</t>
  </si>
  <si>
    <t>Ở quyền Giáo vụ.</t>
  </si>
  <si>
    <t>1. Vào mục 'Danh sách Sinh viên'.
2. Xem danh sách hiển thị.</t>
  </si>
  <si>
    <t>GET /api/governance/students</t>
  </si>
  <si>
    <t>Hiển thị danh sách SV khoa CNTT: MSSV, Họ tên, Lớp niên chế, Email, Số điện thoại.</t>
  </si>
  <si>
    <t>TC_GVK_015</t>
  </si>
  <si>
    <t>Tìm kiếm SV</t>
  </si>
  <si>
    <t>Tìm kiếm sinh viên theo MSSV hoặc Họ tên</t>
  </si>
  <si>
    <t>Tại danh sách sinh viên.</t>
  </si>
  <si>
    <t>1. Nhập MSSV 'SV001'.
2. Nhập tên 'Quang'.</t>
  </si>
  <si>
    <t>Search: 'SV001'</t>
  </si>
  <si>
    <t>Hiển thị đúng sinh viên Trần Minh Quang khớp với từ khóa tìm kiếm.</t>
  </si>
  <si>
    <t>TC_GVK_016</t>
  </si>
  <si>
    <t>Lọc Khóa SV</t>
  </si>
  <si>
    <t>Lọc danh sách sinh viên theo từng Khóa niên chế (K20, K21, K22)</t>
  </si>
  <si>
    <t>Có sinh viên của nhiều khóa.</t>
  </si>
  <si>
    <t>1. Chọn lọc theo Khóa 'K21'.</t>
  </si>
  <si>
    <t>Filter: K21</t>
  </si>
  <si>
    <t>Danh sách chỉ hiển thị các sinh viên thuộc khóa K21.</t>
  </si>
  <si>
    <t>TC_GVK_017</t>
  </si>
  <si>
    <t>Danh sách GV</t>
  </si>
  <si>
    <t>Tra cứu danh sách Giảng viên trong khoa</t>
  </si>
  <si>
    <t>1. Vào mục 'Danh sách Giảng viên'.
2. Xem thông tin các giảng viên.</t>
  </si>
  <si>
    <t>GET /api/governance/lecturers</t>
  </si>
  <si>
    <t>Hiển thị: Mã GV, Họ tên, Học vị (ThS, TS, PGS), Chuyên môn nghiên cứu, Số lượng LHP đang phụ trách.</t>
  </si>
  <si>
    <t>TC_GVK_018</t>
  </si>
  <si>
    <t>Tìm kiếm GV</t>
  </si>
  <si>
    <t>Tìm kiếm giảng viên theo Tên hoặc Chuyên môn</t>
  </si>
  <si>
    <t>Tại danh sách giảng viên.</t>
  </si>
  <si>
    <t>1. Nhập 'Trí tuệ nhân tạo' vào ô tìm kiếm chuyên môn.</t>
  </si>
  <si>
    <t>Search: 'Trí tuệ nhân tạo'</t>
  </si>
  <si>
    <t>Lọc ra các giảng viên có hướng nghiên cứu về Trí tuệ nhân tạo để dễ dàng phân công đồ án.</t>
  </si>
  <si>
    <t>TC_GVK_019</t>
  </si>
  <si>
    <t>AI Phân tích</t>
  </si>
  <si>
    <t>Giáo vụ khoa dùng AI Gemini phân tích khối lượng học vụ</t>
  </si>
  <si>
    <t>Tại Dashboard Giáo vụ; có kết nối mạng.</t>
  </si>
  <si>
    <t>1. Xem thẻ 'AI Phân tích khối lượng học vụ khoa'.
2. Bấm 'Phân tích ngay'.</t>
  </si>
  <si>
    <t>Gemini analyzeAcademicWorkload</t>
  </si>
  <si>
    <t>AI phân tích tỷ lệ SV/GV, cảnh báo LHP bị quá tải sinh viên, khuyến nghị bổ sung GV hướng dẫn.</t>
  </si>
  <si>
    <t>TC_GVK_020</t>
  </si>
  <si>
    <t>Xử lý khi AI Gemini phân tích bị lỗi mạng hoặc timeout</t>
  </si>
  <si>
    <t>Tắt mạng hoặc rút cáp USB.</t>
  </si>
  <si>
    <t>1. Bấm phân tích AI.</t>
  </si>
  <si>
    <t>Thẻ AI hiển thị lỗi màu đỏ thân thiện: 'Không thể kết nối Gemini AI' kèm nút 'Thử lại'. Không crash app.</t>
  </si>
  <si>
    <t>TC_GVK_021</t>
  </si>
  <si>
    <t>Cảnh báo trễ hạn</t>
  </si>
  <si>
    <t>Giáo vụ xem danh sách các nhóm sinh viên chưa nộp báo cáo tiến độ</t>
  </si>
  <si>
    <t>Có mốc báo cáo đã quá hạn nộp.</t>
  </si>
  <si>
    <t>1. Vào mục 'Theo dõi tiến độ đồ án khoa'.
2. Lọc theo trạng thái 'Chưa nộp / Quá hạn'.</t>
  </si>
  <si>
    <t>Filter: Overdue reports</t>
  </si>
  <si>
    <t>Hiển thị danh sách các nhóm chưa nộp bài để giáo vụ gửi thông báo đôn đốc.</t>
  </si>
  <si>
    <t>TC_GVK_022</t>
  </si>
  <si>
    <t>Thông báo Khoa</t>
  </si>
  <si>
    <t>Giáo vụ nhận thông báo khi có giảng viên mới được bổ sung</t>
  </si>
  <si>
    <t>Admin vừa tạo tài khoản giảng viên mới cho khoa.</t>
  </si>
  <si>
    <t>1. Vào mục Thông báo của Giáo vụ.
2. Xem thông báo mới.</t>
  </si>
  <si>
    <t>Nhận được thông báo: 'Tài khoản Giảng viên [Tên GV] vừa được kích hoạt thuộc khoa CNTT'.</t>
  </si>
  <si>
    <t>TC_GVK_023</t>
  </si>
  <si>
    <t>Hồ sơ Giáo vụ</t>
  </si>
  <si>
    <t>Xem thông tin chi tiết và cập nhật Số điện thoại giáo vụ</t>
  </si>
  <si>
    <t>Đăng nhập gvk.demo.</t>
  </si>
  <si>
    <t>1. Vào trang Cá nhân.
2. Chỉnh sửa số điện thoại liên hệ.
3. Bấm Lưu.</t>
  </si>
  <si>
    <t>Cập nhật thành công thông tin liên hệ giáo vụ khoa.</t>
  </si>
  <si>
    <t>TC_GVK_024</t>
  </si>
  <si>
    <t>Avatar Giáo vụ</t>
  </si>
  <si>
    <t>Đổi ảnh đại diện cho tài khoản Giáo vụ khoa</t>
  </si>
  <si>
    <t>Tại trang Cá nhân.</t>
  </si>
  <si>
    <t>1. Bấm vào icon camera.
2. Chọn ảnh chân dung từ thư viện máy.
3. Tải lên.</t>
  </si>
  <si>
    <t>Avatar upload</t>
  </si>
  <si>
    <t>Ảnh tải lên thành công, cập nhật avatar giáo vụ trên toàn bộ giao diện.</t>
  </si>
  <si>
    <t>TC_GVK_025</t>
  </si>
  <si>
    <t>Bảo mật Khoa</t>
  </si>
  <si>
    <t>Giáo vụ khoa chỉ được xem và phân công LHP thuộc khoa mình</t>
  </si>
  <si>
    <t>Có LHP thuộc Khoa Ngoại ngữ hoặc Khoa Kinh tế.</t>
  </si>
  <si>
    <t>1. Kiểm tra danh sách LHP hiển thị cho Giáo vụ CNTT.</t>
  </si>
  <si>
    <t>Role scope check</t>
  </si>
  <si>
    <t>Chỉ hiển thị các môn của khoa CNTT, không hiển thị và không sửa được LHP của khoa khác.</t>
  </si>
  <si>
    <t>📋 KỊCH BẢN KIỂM THỬ PHÂN HỆ PHÒNG ĐÀO TẠO (ACADEMIC AFFAIRS)</t>
  </si>
  <si>
    <t>TC_PDT_001</t>
  </si>
  <si>
    <t>Dashboard Toàn trường</t>
  </si>
  <si>
    <t>Giám sát số liệu đồ án tổng thể toàn trường (Liên khoa)</t>
  </si>
  <si>
    <t>Đăng nhập tài khoản pdt.demo.</t>
  </si>
  <si>
    <t>1. Vào Dashboard Phòng đào tạo.
2. Quan sát số liệu tổng quan.</t>
  </si>
  <si>
    <t>Hiển thị chuẩn xác: Tổng số Khoa, Tổng số LHP toàn trường, Tổng số SV làm đồ án, Tổng số đề tài được duyệt.</t>
  </si>
  <si>
    <t>TC_PDT_002</t>
  </si>
  <si>
    <t>Thống kê so sánh số lượng đồ án giữa các Khoa khác nhau</t>
  </si>
  <si>
    <t>Hệ thống có dữ liệu của nhiều khoa.</t>
  </si>
  <si>
    <t>1. Quan sát biểu đồ/thống kê phân bố theo khoa.</t>
  </si>
  <si>
    <t>Department comparison</t>
  </si>
  <si>
    <t>Hiển thị tỷ lệ số lượng đề tài giữa các khoa (CNTT: 60%, Điện tử: 25%, Kinh tế: 15%).</t>
  </si>
  <si>
    <t>TC_PDT_003</t>
  </si>
  <si>
    <t>Làm mới số liệu giám sát đào tạo cấp trường</t>
  </si>
  <si>
    <t>Tại Dashboard Phòng đào tạo.</t>
  </si>
  <si>
    <t>1. Kéo vuốt màn hình từ trên xuống (Pull-to-refresh).</t>
  </si>
  <si>
    <t>Tải lại toàn bộ số liệu thống kê liên khoa mới nhất từ CSDL.</t>
  </si>
  <si>
    <t>TC_PDT_004</t>
  </si>
  <si>
    <t>Cấu hình Học kỳ</t>
  </si>
  <si>
    <t>Xem danh mục các Học kỳ và Năm học trong hệ thống</t>
  </si>
  <si>
    <t>Đang ở quyền Phòng đào tạo.</t>
  </si>
  <si>
    <t>1. Vào mục 'Cấu hình học kỳ'.
2. Xem danh sách học kỳ.</t>
  </si>
  <si>
    <t>GET /api/semesters</t>
  </si>
  <si>
    <t>Hiển thị danh sách học kỳ: HK1 2026-2027, HK2 2026-2027, HK Hè 2026-2027 kèm trạng thái Đang mở / Đã đóng.</t>
  </si>
  <si>
    <t>TC_PDT_005</t>
  </si>
  <si>
    <t>Thiết lập Học kỳ hiện tại (Active Semester) áp dụng toàn trường</t>
  </si>
  <si>
    <t>Chuẩn bị bước sang học kỳ mới.</t>
  </si>
  <si>
    <t>1. Chọn 'Học kỳ 1 2026-2027'.
2. Thiết lập làm 'Học kỳ hiện tại'.
3. Xác nhận.</t>
  </si>
  <si>
    <t>Set Active Semester</t>
  </si>
  <si>
    <t>Cập nhật thành công, tất cả các phân hệ khác (Sinh viên, Giảng viên, Giáo vụ) tự động đồng bộ theo học kỳ này.</t>
  </si>
  <si>
    <t>TC_PDT_006</t>
  </si>
  <si>
    <t>Khung thời gian</t>
  </si>
  <si>
    <t>Xem khung thời gian kế hoạch đồ án toàn trường</t>
  </si>
  <si>
    <t>Ở màn hình Kế hoạch đào tạo.</t>
  </si>
  <si>
    <t>1. Xem các mốc: Bắt đầu đăng ký, Hạn nộp đề tài, Hạn nộp báo cáo, Tuần bảo vệ đồ án.</t>
  </si>
  <si>
    <t>Training Schedule</t>
  </si>
  <si>
    <t>Hiển thị lịch trình chuẩn mực theo quy chế đào tạo của nhà trường.</t>
  </si>
  <si>
    <t>TC_PDT_007</t>
  </si>
  <si>
    <t>Quản lý LHP cấp trường</t>
  </si>
  <si>
    <t>Xem danh mục tất cả các LHP toàn trường (Liên khoa)</t>
  </si>
  <si>
    <t>Tại mục 'Dữ liệu đào tạo'.</t>
  </si>
  <si>
    <t>1. Vào xem danh sách LHP toàn trường.</t>
  </si>
  <si>
    <t>GET /api/lop-hoc-phan (All departments)</t>
  </si>
  <si>
    <t>Hiển thị toàn bộ LHP của các khoa với đầy đủ mã môn, giảng viên, sĩ số.</t>
  </si>
  <si>
    <t>TC_PDT_008</t>
  </si>
  <si>
    <t>Lọc LHP theo Khoa</t>
  </si>
  <si>
    <t>Lọc danh sách LHP theo từng Khoa cụ thể</t>
  </si>
  <si>
    <t>Tại danh sách LHP toàn trường.</t>
  </si>
  <si>
    <t>1. Chọn lọc Khoa: 'Khoa Công nghệ thông tin'.
2. Chọn lọc Khoa: 'Khoa Điện - Điện tử'.</t>
  </si>
  <si>
    <t>Filter by Faculty</t>
  </si>
  <si>
    <t>Danh sách lọc chuẩn xác các lớp thuộc về khoa đã chọn.</t>
  </si>
  <si>
    <t>TC_PDT_009</t>
  </si>
  <si>
    <t>Giám sát tiến độ</t>
  </si>
  <si>
    <t>Giám sát các LHP chưa mở đợt đăng ký đồ án</t>
  </si>
  <si>
    <t>Đã đến hạn mở đợt nhưng có lớp chưa mở.</t>
  </si>
  <si>
    <t>1. Lọc LHP theo trạng thái 'Chưa mở đợt đăng ký'.</t>
  </si>
  <si>
    <t>Filter: Pending batches</t>
  </si>
  <si>
    <t>Hiển thị danh sách các lớp chưa mở đợt để phòng đào tạo nhắc nhở khoa đôn đốc giảng viên.</t>
  </si>
  <si>
    <t>TC_PDT_010</t>
  </si>
  <si>
    <t>Xem tỷ lệ sinh viên hoàn thành đồ án toàn trường</t>
  </si>
  <si>
    <t>Nhiều lớp đã kết thúc chấm báo cáo.</t>
  </si>
  <si>
    <t>1. Vào mục 'Báo cáo tiến độ hoàn thành'.</t>
  </si>
  <si>
    <t>Completion rate</t>
  </si>
  <si>
    <t>Hiển thị tỷ lệ % sinh viên đạt yêu cầu đồ án so với tổng số sinh viên đăng ký.</t>
  </si>
  <si>
    <t>TC_PDT_011</t>
  </si>
  <si>
    <t>AI Dự báo đào tạo</t>
  </si>
  <si>
    <t>Phòng đào tạo dùng AI Gemini dự báo nhu cầu đào tạo</t>
  </si>
  <si>
    <t>Tại Dashboard Phòng đào tạo; có kết nối mạng.</t>
  </si>
  <si>
    <t>1. Xem thẻ 'AI Dự báo đào tạo toàn trường'.
2. Bấm 'Dự báo ngay'.</t>
  </si>
  <si>
    <t>Gemini analyzeTrainingForecast</t>
  </si>
  <si>
    <t>AI phân tích xu hướng công nghệ (Flutter, AI, Cloud...) và đưa ra khuyến nghị phân bổ phòng lab/nhân lực.</t>
  </si>
  <si>
    <t>TC_PDT_012</t>
  </si>
  <si>
    <t>AI Dự báo công nghệ</t>
  </si>
  <si>
    <t>AI phân tích xu hướng đề tài sinh viên quan tâm</t>
  </si>
  <si>
    <t>Tại phần AI Dự báo.</t>
  </si>
  <si>
    <t>1. Xem phân tích xu hướng đề tài từ AI.</t>
  </si>
  <si>
    <t>AI technology trends</t>
  </si>
  <si>
    <t>AI xếp hạng các công nghệ hot (AI: 40%, Mobile: 30%, Web: 20%) và gợi ý mở thêm lớp chuyên đề.</t>
  </si>
  <si>
    <t>TC_PDT_013</t>
  </si>
  <si>
    <t>AI Dự báo lỗi mạng</t>
  </si>
  <si>
    <t>Xử lý khi AI Gemini dự báo gặp sự cố mất mạng</t>
  </si>
  <si>
    <t>Ngắt kết nối mạng.</t>
  </si>
  <si>
    <t>1. Bấm 'Dự báo ngay'.</t>
  </si>
  <si>
    <t>Hiển thị thông báo lỗi màu đỏ kèm nút 'Thử lại'. Không bị văng ứng dụng.</t>
  </si>
  <si>
    <t>TC_PDT_014</t>
  </si>
  <si>
    <t>Toàn vẹn dữ liệu</t>
  </si>
  <si>
    <t>Kiểm tra không có sinh viên mồ côi (không thuộc khoa nào)</t>
  </si>
  <si>
    <t>Tại màn hình Dữ liệu đào tạo.</t>
  </si>
  <si>
    <t>1. Kiểm tra thống kê sinh viên theo khoa.</t>
  </si>
  <si>
    <t>Data integrity check</t>
  </si>
  <si>
    <t>100% sinh viên đều được gán đúng vào một Khoa cụ thể trong CSDL.</t>
  </si>
  <si>
    <t>TC_PDT_015</t>
  </si>
  <si>
    <t>Quyền hạn độc lập</t>
  </si>
  <si>
    <t>Phòng đào tạo chỉ có quyền giám sát, không can thiệp duyệt đề tài cụ thể của GV</t>
  </si>
  <si>
    <t>Đăng nhập pdt.demo.</t>
  </si>
  <si>
    <t>1. Thử tìm nút 'Duyệt đề tài' của một nhóm sinh viên cụ thể.</t>
  </si>
  <si>
    <t>RBAC separation</t>
  </si>
  <si>
    <t>Không có nút Duyệt/Từ chối đề tài (đảm bảo tính tự chủ học thuật của Giảng viên và Khoa).</t>
  </si>
  <si>
    <t>TC_PDT_016</t>
  </si>
  <si>
    <t>Báo cáo tổng kết</t>
  </si>
  <si>
    <t>Xem bảng tổng hợp phổ điểm đồ án toàn trường</t>
  </si>
  <si>
    <t>Đợt đồ án đã chấm xong.</t>
  </si>
  <si>
    <t>1. Vào mục 'Phổ điểm đồ án toàn trường'.</t>
  </si>
  <si>
    <t>Grade distribution</t>
  </si>
  <si>
    <t>Hiển thị biểu đồ phân bổ điểm: Xuất sắc (9-10), Giỏi (8-8.9), Khá (7-7.9), Trung bình (5-6.9), Rớt (&lt;5).</t>
  </si>
  <si>
    <t>TC_PDT_017</t>
  </si>
  <si>
    <t>Thông báo Đào tạo</t>
  </si>
  <si>
    <t>Nhận thông báo khi có đợt đăng ký đồ án mới được kích hoạt</t>
  </si>
  <si>
    <t>Giảng viên vừa mở đợt đăng ký mới.</t>
  </si>
  <si>
    <t>1. Vào mục Thông báo của Phòng đào tạo.</t>
  </si>
  <si>
    <t>Hiện thông báo: 'Đợt đăng ký đồ án cho LHP [Tên LHP] vừa được kích hoạt'.</t>
  </si>
  <si>
    <t>TC_PDT_018</t>
  </si>
  <si>
    <t>Hồ sơ Đào tạo</t>
  </si>
  <si>
    <t>Xem và cập nhật thông tin cán bộ Phòng đào tạo</t>
  </si>
  <si>
    <t>1. Vào trang Cá nhân.
2. Cập nhật Số điện thoại liên hệ.</t>
  </si>
  <si>
    <t>Cập nhật thành công, thông tin lưu trữ an toàn vào Backend.</t>
  </si>
  <si>
    <t>TC_PDT_019</t>
  </si>
  <si>
    <t>Avatar Đào tạo</t>
  </si>
  <si>
    <t>Đổi ảnh đại diện cho tài khoản Phòng đào tạo</t>
  </si>
  <si>
    <t>1. Bấm icon camera &gt; Chọn ảnh.
2. Xác nhận tải lên.</t>
  </si>
  <si>
    <t>Ảnh đại diện cán bộ phòng đào tạo được cập nhật tức thì trên toàn bộ giao diện.</t>
  </si>
  <si>
    <t>TC_PDT_020</t>
  </si>
  <si>
    <t>Bảo mật Đào tạo</t>
  </si>
  <si>
    <t>Chặn Phòng đào tạo truy cập các màn hình quản trị hệ thống của Admin</t>
  </si>
  <si>
    <t>1. Thử tìm màn hình Quản lý User Admin hoặc gửi request POST /api/admin/users.</t>
  </si>
  <si>
    <t>Access Admin API</t>
  </si>
  <si>
    <t>Hệ thống từ chối với HTTP 403 Forbidden. Phân quyền vai trò tuyệt đối an toàn.</t>
  </si>
  <si>
    <t>📋 KỊCH BẢN KIỂM THỬ PHÂN HỆ QUẢN TRỊ VIÊN (ADMIN MODULE)</t>
  </si>
  <si>
    <t>TC_ADM_001</t>
  </si>
  <si>
    <t>Dashboard Admin</t>
  </si>
  <si>
    <t>Hiển thị số liệu tổng quan người dùng toàn hệ thống</t>
  </si>
  <si>
    <t>Đăng nhập admin.demo.</t>
  </si>
  <si>
    <t>1. Vào Dashboard Quản trị viên.
2. Quan sát các Stat Card.</t>
  </si>
  <si>
    <t>Hiển thị đúng tổng số: Người dùng, Sinh viên, Giảng viên, Lớp học phần trong CSDL.</t>
  </si>
  <si>
    <t>TC_ADM_002</t>
  </si>
  <si>
    <t>Biểu đồ vai trò</t>
  </si>
  <si>
    <t>Hiển thị Biểu đồ thanh ngang phân bổ vai trò (Role Distribution)</t>
  </si>
  <si>
    <t>Ở Dashboard Admin.</t>
  </si>
  <si>
    <t>1. Quan sát thẻ 'Phân bổ vai trò người dùng'.
2. Kiểm tra các thanh ngang.</t>
  </si>
  <si>
    <t>Role distribution</t>
  </si>
  <si>
    <t>Hiển thị 5 thanh ngang 5 màu tương ứng: Sinh viên (Xanh lá), Giảng viên (Xanh dương), Giáo vụ (Tím), Đào tạo (Cam), Admin (Hồng). Tổng % = 100%.</t>
  </si>
  <si>
    <t>TC_ADM_003</t>
  </si>
  <si>
    <t>Danh sách User</t>
  </si>
  <si>
    <t>Xem danh sách toàn bộ người dùng trong hệ thống</t>
  </si>
  <si>
    <t>Tại tab 'Người dùng' của Admin.</t>
  </si>
  <si>
    <t>1. Xem danh sách người dùng.
2. Quan sát thông tin từng dòng.</t>
  </si>
  <si>
    <t>GET /api/admin/users</t>
  </si>
  <si>
    <t>Hiển thị: Avatar, Họ tên, Tên đăng nhập, Email, Số ĐT, Vai trò (Badge màu), Trạng thái Hoạt động/Đã khóa.</t>
  </si>
  <si>
    <t>TC_ADM_004</t>
  </si>
  <si>
    <t>Tìm kiếm User</t>
  </si>
  <si>
    <t>Tìm kiếm người dùng theo Họ tên hoặc Tên đăng nhập</t>
  </si>
  <si>
    <t>Tại màn hình Quản lý người dùng.</t>
  </si>
  <si>
    <t>1. Nhập từ khóa 'Nguyễn' vào ô tìm kiếm.
2. Nhập username 'sv001'.</t>
  </si>
  <si>
    <t>Search: 'Nguyễn'</t>
  </si>
  <si>
    <t>Lọc chính xác người dùng có tên hoặc username khớp từ khóa tìm kiếm.</t>
  </si>
  <si>
    <t>TC_ADM_005</t>
  </si>
  <si>
    <t>Lọc vai trò</t>
  </si>
  <si>
    <t>Lọc danh sách người dùng theo Vai trò (Role Filter)</t>
  </si>
  <si>
    <t>Tại danh sách người dùng.</t>
  </si>
  <si>
    <t>1. Bấm chip lọc: 'Sinh viên'.
2. Bấm chip lọc: 'Giảng viên'.
3. Bấm chip lọc: 'Admin'.</t>
  </si>
  <si>
    <t>role = SINHVIEN / GIANGVIEN / ADMIN</t>
  </si>
  <si>
    <t>Danh sách lập tức lọc đúng chỉ những tài khoản có vai trò tương ứng.</t>
  </si>
  <si>
    <t>TC_ADM_006</t>
  </si>
  <si>
    <t>Thêm User</t>
  </si>
  <si>
    <t>Tạo tài khoản người dùng mới thủ công thành công</t>
  </si>
  <si>
    <t>Bấm FAB 'Thêm người dùng'.</t>
  </si>
  <si>
    <t>1. Nhập: Tên đăng nhập 'sv_moi_01', Mật khẩu '123456', Họ tên 'Nguyễn Văn Mới', Email 'svmoi@school.edu', Số ĐT '0912345678', Vai trò 'Sinh viên'.
2. Bấm 'Lưu người dùng'.</t>
  </si>
  <si>
    <t>POST /api/admin/users</t>
  </si>
  <si>
    <t>Tạo tài khoản thành công, xuất hiện ngay trong danh sách, có thể dùng tài khoản này đăng nhập được ngay.</t>
  </si>
  <si>
    <t>TC_ADM_007</t>
  </si>
  <si>
    <t>Validate User</t>
  </si>
  <si>
    <t>Báo lỗi khi tạo tài khoản có Tên đăng nhập đã tồn tại</t>
  </si>
  <si>
    <t>Tài khoản 'sv001' đã tồn tại trong DB.</t>
  </si>
  <si>
    <t>1. Nhập username là 'sv001'.
2. Nhập các thông tin khác hợp lệ.
3. Bấm 'Lưu'.</t>
  </si>
  <si>
    <t>Username: 'sv001'</t>
  </si>
  <si>
    <t>Báo lỗi: 'Tên đăng nhập đã tồn tại trong hệ thống'. Không cho phép tạo trùng lặp.</t>
  </si>
  <si>
    <t>TC_ADM_008</t>
  </si>
  <si>
    <t>Validate định dạng Email khi tạo tài khoản</t>
  </si>
  <si>
    <t>Ở form tạo người dùng.</t>
  </si>
  <si>
    <t>1. Nhập email sai: 'email_khong_hop_le'.
2. Bấm Lưu.</t>
  </si>
  <si>
    <t>email_khong_hop_le</t>
  </si>
  <si>
    <t>Báo lỗi: 'Email không đúng định dạng'.</t>
  </si>
  <si>
    <t>TC_ADM_009</t>
  </si>
  <si>
    <t>Khóa tài khoản</t>
  </si>
  <si>
    <t>Khóa tài khoản người dùng (Toggle Status sang False)</t>
  </si>
  <si>
    <t>Tài khoản đang ở trạng thái Hoạt động.</t>
  </si>
  <si>
    <t>1. Tìm tài khoản trong danh sách.
2. Bấm nút chuyển đổi trạng thái sang 'Khóa'.
3. Xác nhận trên dialog.</t>
  </si>
  <si>
    <t>PUT /api/admin/users/{id}/toggle-status</t>
  </si>
  <si>
    <t>Trạng thái đổi thành 'Đã khóa' (màu đỏ). Thử lấy tài khoản này đăng nhập sẽ bị hệ thống từ chối.</t>
  </si>
  <si>
    <t>TC_ADM_010</t>
  </si>
  <si>
    <t>Mở khóa User</t>
  </si>
  <si>
    <t>Mở khóa tài khoản người dùng (Toggle Status sang True)</t>
  </si>
  <si>
    <t>Tài khoản đang bị khóa.</t>
  </si>
  <si>
    <t>1. Bấm nút kích hoạt lại sang 'Hoạt động'.</t>
  </si>
  <si>
    <t>Toggle status sang True</t>
  </si>
  <si>
    <t>Trạng thái chuyển thành 'Hoạt động' (màu xanh). Người dùng có thể đăng nhập bình thường.</t>
  </si>
  <si>
    <t>TC_ADM_011</t>
  </si>
  <si>
    <t>Reset mật khẩu</t>
  </si>
  <si>
    <t>Admin đặt lại mật khẩu mặc định cho người dùng</t>
  </si>
  <si>
    <t>Người dùng quên mật khẩu nhờ Admin cấp lại.</t>
  </si>
  <si>
    <t>1. Chọn người dùng cần reset.
2. Bấm 'Đặt lại mật khẩu mặc định'.
3. Xác nhận.</t>
  </si>
  <si>
    <t>POST /api/admin/users/{id}/reset-password</t>
  </si>
  <si>
    <t>Mật khẩu của tài khoản được đặt lại về '123456', người dùng có thể đăng nhập lại.</t>
  </si>
  <si>
    <t>TC_ADM_012</t>
  </si>
  <si>
    <t>Import User</t>
  </si>
  <si>
    <t>Tải file mẫu template CSV chuẩn</t>
  </si>
  <si>
    <t>Vào màn hình 'Import người dùng'.</t>
  </si>
  <si>
    <t>1. Chọn định dạng: 'CSV'.
2. Bấm nút 'Tải file mẫu'.</t>
  </si>
  <si>
    <t>Template CSV</t>
  </si>
  <si>
    <t>Tải thành công file mẫu về máy với đúng header: TênĐăngNhập,MậtKhẩu,HọTên,Email,SốĐiệnThoại,VaiTrò,TrạngThái kèm 1 dòng mẫu.</t>
  </si>
  <si>
    <t>TC_ADM_013</t>
  </si>
  <si>
    <t>Tải file mẫu template Excel (.xlsx) chuẩn</t>
  </si>
  <si>
    <t>Ở màn hình Import.</t>
  </si>
  <si>
    <t>1. Chọn định dạng: 'Excel (.xlsx)'.
2. Bấm 'Tải file mẫu'.</t>
  </si>
  <si>
    <t>Template Excel</t>
  </si>
  <si>
    <t>Tải về file Excel mẫu có định dạng bảng và các cột chuẩn.</t>
  </si>
  <si>
    <t>TC_ADM_014</t>
  </si>
  <si>
    <t>Chọn file và hiển thị bảng Xem trước dữ liệu (Preview Table)</t>
  </si>
  <si>
    <t>Đã chuẩn bị file CSV/Excel hợp lệ chứa 10 người dùng.</t>
  </si>
  <si>
    <t>1. Bấm 'Chọn file từ thiết bị'.
2. Chọn file danh sách.
3. Quan sát bảng Preview.</t>
  </si>
  <si>
    <t>File 10 users</t>
  </si>
  <si>
    <t>Hệ thống parse file thành công, hiển thị bảng Preview 5 dòng đầu tiên với thông tin chuẩn hóa.</t>
  </si>
  <si>
    <t>TC_ADM_015</t>
  </si>
  <si>
    <t>Tiến hành Import hàng loạt người dùng vào CSDL thành công</t>
  </si>
  <si>
    <t>Đã xem trước dữ liệu thành công.</t>
  </si>
  <si>
    <t>1. Bấm nút 'Bắt đầu Import'.
2. Theo dõi thanh tiến trình.</t>
  </si>
  <si>
    <t>10 tài khoản mới</t>
  </si>
  <si>
    <t>Tạo thành công toàn bộ 10 tài khoản. Báo cáo: 'Thành công: 10, Thất bại: 0'. Dữ liệu nạp đầy đủ vào SQL Server.</t>
  </si>
  <si>
    <t>TC_ADM_016</t>
  </si>
  <si>
    <t>Báo cáo lỗi khi file import chứa một số tài khoản bị trùng lặp</t>
  </si>
  <si>
    <t>File chứa 5 tài khoản mới và 2 tài khoản đã tồn tại (sv001, gv001).</t>
  </si>
  <si>
    <t>1. Chọn file và bấm 'Bắt đầu Import'.</t>
  </si>
  <si>
    <t>File có 2 tài khoản trùng</t>
  </si>
  <si>
    <t>Import thành công 5 tài khoản mới, 2 tài khoản trùng báo thất bại. Tổng kết: 'Thành công: 5, Thất bại: 2'.</t>
  </si>
  <si>
    <t>TC_ADM_017</t>
  </si>
  <si>
    <t>Báo lỗi khi nạp file sai cấu trúc cột quy định</t>
  </si>
  <si>
    <t>File văn bản bất kỳ không đúng chuẩn cột.</t>
  </si>
  <si>
    <t>1. Chọn file văn bản sai header.
2. Bấm nạp file.</t>
  </si>
  <si>
    <t>File sai cấu trúc</t>
  </si>
  <si>
    <t>Báo lỗi: 'Cấu trúc file không đúng định dạng. Vui lòng tải file mẫu để kiểm tra'. Không crash app.</t>
  </si>
  <si>
    <t>TC_ADM_018</t>
  </si>
  <si>
    <t>Nhật ký hệ thống</t>
  </si>
  <si>
    <t>Xem nhật ký hoạt động hệ thống (Activity Log)</t>
  </si>
  <si>
    <t>Hệ thống có phát sinh hoạt động (đăng nhập, duyệt đề tài...).</t>
  </si>
  <si>
    <t>1. Vào mục 'Nhật ký hoạt động'.
2. Xem các dòng log sự kiện.</t>
  </si>
  <si>
    <t>GET /api/admin/activity-logs</t>
  </si>
  <si>
    <t>Hiển thị chi tiết: Thời gian, Người thực hiện, Hành động, Địa chỉ IP thực hiện.</t>
  </si>
  <si>
    <t>TC_ADM_019</t>
  </si>
  <si>
    <t>Validate SĐT</t>
  </si>
  <si>
    <t>Validate trường Số điện thoại khi thêm người dùng (chỉ nhận số, 10-11 ký tự)</t>
  </si>
  <si>
    <t>1. Nhập SĐT chứa chữ cái: '090abc1234'.
2. Nhập SĐT chỉ có 6 số: '090123'.
3. Bấm Lưu.</t>
  </si>
  <si>
    <t>SĐT sai định dạng</t>
  </si>
  <si>
    <t>Báo lỗi: 'Số điện thoại phải từ 10-11 chữ số và không chứa ký tự chữ'.</t>
  </si>
  <si>
    <t>TC_ADM_020</t>
  </si>
  <si>
    <t>Xử lý file Excel/CSV có dòng trống xen kẽ</t>
  </si>
  <si>
    <t>File Excel có 5 dòng dữ liệu và 2 dòng trống xen giữa.</t>
  </si>
  <si>
    <t>1. Chọn file và bắt đầu import.</t>
  </si>
  <si>
    <t>File có dòng trống</t>
  </si>
  <si>
    <t>Hệ thống tự động bỏ qua các dòng rỗng, import chính xác 5 dòng có dữ liệu, không bị lỗi crash.</t>
  </si>
  <si>
    <t>TC_ADM_021</t>
  </si>
  <si>
    <t>Import file Excel có số lượng lớn (50-100 tài khoản)</t>
  </si>
  <si>
    <t>File chứa 100 tài khoản sinh viên.</t>
  </si>
  <si>
    <t>1. Bấm Import và theo dõi thanh tiến trình.</t>
  </si>
  <si>
    <t>File 100 accounts</t>
  </si>
  <si>
    <t>Quá trình nạp hiển thị thanh % rõ ràng, hoàn tất nạp 100 tài khoản vào CSDL trong &lt; 10 giây.</t>
  </si>
  <si>
    <t>TC_ADM_022</t>
  </si>
  <si>
    <t>Đổi Vai trò</t>
  </si>
  <si>
    <t>Admin chuyển đổi vai trò của người dùng (Role Migration)</t>
  </si>
  <si>
    <t>Tài khoản đang là Sinh viên.</t>
  </si>
  <si>
    <t>1. Vào chi tiết người dùng &gt; Chỉnh sửa.
2. Đổi vai trò sang Giảng viên.
3. Bấm Lưu.</t>
  </si>
  <si>
    <t>Change Role to GIANGVIEN</t>
  </si>
  <si>
    <t>Cập nhật vai trò thành công, người dùng đăng nhập lại sẽ nhận đúng quyền Giảng viên.</t>
  </si>
  <si>
    <t>TC_ADM_023</t>
  </si>
  <si>
    <t>Xóa tài khoản</t>
  </si>
  <si>
    <t>Chặn xóa tài khoản người dùng đã có dữ liệu ràng buộc (FK constraint)</t>
  </si>
  <si>
    <t>Sinh viên sv001 đã có trong nhóm đồ án.</t>
  </si>
  <si>
    <t>1. Thử xóa tài khoản sv001.</t>
  </si>
  <si>
    <t>Delete user with relations</t>
  </si>
  <si>
    <t>Hệ thống từ chối xóa và khuyến nghị sử dụng chức năng 'Khóa tài khoản' để bảo toàn dữ liệu lịch sử.</t>
  </si>
  <si>
    <t>TC_ADM_024</t>
  </si>
  <si>
    <t>Tìm kiếm nâng cao</t>
  </si>
  <si>
    <t>Kết hợp Tìm kiếm từ khóa và Lọc đồng thời theo Vai trò</t>
  </si>
  <si>
    <t>Tại màn hình User.</t>
  </si>
  <si>
    <t>1. Chọn lọc vai trò 'Giảng viên'.
2. Nhập từ khóa 'Nguyễn' vào ô tìm kiếm.</t>
  </si>
  <si>
    <t>Role: GIANGVIEN &amp; Search: 'Nguyễn'</t>
  </si>
  <si>
    <t>Chỉ hiển thị các Giảng viên có tên chứa chữ 'Nguyễn', không lẫn sinh viên.</t>
  </si>
  <si>
    <t>📋 KỊCH BẢN KIỂM THỬ PHI CHỨC NĂNG, BẢO MẬT &amp; HIỆU NĂNG HỆ THỐNG</t>
  </si>
  <si>
    <t>TC_NFR_001</t>
  </si>
  <si>
    <t>Bảo mật API</t>
  </si>
  <si>
    <t>Chặn gọi API nghiệp vụ khi không có JWT Bearer Token</t>
  </si>
  <si>
    <t>Gọi trực tiếp endpoint Backend không kèm token.</t>
  </si>
  <si>
    <t>1. Dùng Postman hoặc curl gọi: GET http://localhost:5094/api/student/courses.
2. Quan sát phản hồi.</t>
  </si>
  <si>
    <t>No Authorization Header</t>
  </si>
  <si>
    <t>Máy chủ trả về HTTP 401 Unauthorized. Không để lộ bất kỳ thông tin nào.</t>
  </si>
  <si>
    <t>TC_NFR_002</t>
  </si>
  <si>
    <t>Bảo mật Token</t>
  </si>
  <si>
    <t>Chặn gọi API khi JWT Token đã hết hạn (Expired Token)</t>
  </si>
  <si>
    <t>Sử dụng token cũ đã quá thời hạn hiệu lực.</t>
  </si>
  <si>
    <t>1. Gửi request kèm token cũ.
2. Quan sát phản hồi.</t>
  </si>
  <si>
    <t>Expired JWT Token</t>
  </si>
  <si>
    <t>Backend từ chối với HTTP 401. Ứng dụng tự động điều hướng người dùng về màn hình Đăng nhập.</t>
  </si>
  <si>
    <t>TC_NFR_003</t>
  </si>
  <si>
    <t>Phân quyền RBAC</t>
  </si>
  <si>
    <t>Sinh viên không được gọi API của Giảng viên (HTTP 403 Forbidden)</t>
  </si>
  <si>
    <t>Lấy Token đăng nhập của Sinh viên (sv001).</t>
  </si>
  <si>
    <t>1. Dùng Token Sinh viên gửi request POST /api/de-tai (Tạo đề tài của GV).
2. Quan sát phản hồi.</t>
  </si>
  <si>
    <t>Student Token calling Lecturer API</t>
  </si>
  <si>
    <t>Máy chủ từ chối với HTTP 403 Forbidden. Đảm bảo phân quyền vai trò bảo mật tuyệt đối.</t>
  </si>
  <si>
    <t>TC_NFR_004</t>
  </si>
  <si>
    <t>Giảng viên không được gọi API Quản trị viên (Admin)</t>
  </si>
  <si>
    <t>Lấy Token của Giảng viên (gv001).</t>
  </si>
  <si>
    <t>1. Gửi request POST /api/admin/users.
2. Quan sát phản hồi.</t>
  </si>
  <si>
    <t>Lecturer Token calling Admin API</t>
  </si>
  <si>
    <t>Máy chủ từ chối với HTTP 403 Forbidden.</t>
  </si>
  <si>
    <t>TC_NFR_005</t>
  </si>
  <si>
    <t>Xử lý mất mạng</t>
  </si>
  <si>
    <t>Ứng dụng xử lý an toàn khi mất kết nối mạng đột ngột</t>
  </si>
  <si>
    <t>Bật chế độ máy bay (Airplane mode) trên điện thoại.</t>
  </si>
  <si>
    <t>1. Thao tác chuyển qua lại giữa các tab LHP, Đề tài, Nhóm.
2. Quan sát giao diện.</t>
  </si>
  <si>
    <t>No Internet Connection</t>
  </si>
  <si>
    <t>Không bị crash/văng app. Hiển thị thông báo lỗi thân thiện 'Không thể kết nối máy chủ' kèm nút 'Thử lại'.</t>
  </si>
  <si>
    <t>TC_NFR_006</t>
  </si>
  <si>
    <t>Hiệu năng USB</t>
  </si>
  <si>
    <t>Đo độ trễ phản hồi API qua cầu nối cáp USB (ADB Reverse)</t>
  </si>
  <si>
    <t>Điện thoại cắm cáp USB, đã reverse port 5094.</t>
  </si>
  <si>
    <t>1. Chuyển đổi các tab và đo thời gian tải dữ liệu.</t>
  </si>
  <si>
    <t>Cáp USB Type-C</t>
  </si>
  <si>
    <t>Thời gian phản hồi trung bình &lt; 200ms, trải nghiệm tức thì, không có cảm giác trễ.</t>
  </si>
  <si>
    <t>TC_NFR_007</t>
  </si>
  <si>
    <t>Hiệu năng Wi-Fi</t>
  </si>
  <si>
    <t>Đo độ trễ phản hồi API qua mạng Wi-Fi LAN</t>
  </si>
  <si>
    <t>Điện thoại và máy tính kết nối cùng Wi-Fi.</t>
  </si>
  <si>
    <t>1. Tải danh sách đề tài và nhóm.</t>
  </si>
  <si>
    <t>Wi-Fi LAN 192.168.x.x</t>
  </si>
  <si>
    <t>Thời gian phản hồi &lt; 500ms, dữ liệu tải mượt mà.</t>
  </si>
  <si>
    <t>TC_NFR_008</t>
  </si>
  <si>
    <t>Responsive UI</t>
  </si>
  <si>
    <t>Giao diện hiển thị tốt trên các kích thước màn hình khác nhau</t>
  </si>
  <si>
    <t>Test trên điện thoại nhỏ (5 inch), điện thoại lớn (6.7 inch) và máy ảo.</t>
  </si>
  <si>
    <t>1. Mở tất cả các màn hình chính.
2. Kiểm tra có bị lỗi tràn chữ / tràn khung (RenderFlex overflow) không.</t>
  </si>
  <si>
    <t>Đa kích cỡ màn hình</t>
  </si>
  <si>
    <t>Giao diện co giãn chuẩn nhờ SingleChildScrollView và LayoutBuilder, 0 lỗi overflow.</t>
  </si>
  <si>
    <t>TC_NFR_009</t>
  </si>
  <si>
    <t>Xoay màn hình</t>
  </si>
  <si>
    <t>Kiểm tra giao diện khi xoay ngang điện thoại (Landscape)</t>
  </si>
  <si>
    <t>Bật tính năng tự động xoay màn hình.</t>
  </si>
  <si>
    <t>1. Xoay ngang điện thoại tại màn hình Đăng nhập và Báo cáo tiến độ.</t>
  </si>
  <si>
    <t>Orientation.landscape</t>
  </si>
  <si>
    <t>Nội dung cuộn trơn tru, bàn phím ảo không che khuất nút bấm quan trọng.</t>
  </si>
  <si>
    <t>TC_NFR_010</t>
  </si>
  <si>
    <t>Sao lưu CSDL</t>
  </si>
  <si>
    <t>Hệ thống tự động sao lưu CSDL SQL Server trước khi vận hành</t>
  </si>
  <si>
    <t>Chạy start_full_system.bat.</t>
  </si>
  <si>
    <t>1. Khởi động hệ thống qua start_full_system.bat.
2. Kiểm tra thư mục 'backups/'.</t>
  </si>
  <si>
    <t>backup_database.ps1</t>
  </si>
  <si>
    <t>Tự động sinh ra 1 file .bak mới có gắn timestamp ngày giờ trong thư mục backups, đảm bảo an toàn dữ liệu.</t>
  </si>
  <si>
    <t>TC_NFR_011</t>
  </si>
  <si>
    <t>Khôi phục CSDL</t>
  </si>
  <si>
    <t>Khôi phục dữ liệu từ bản sao lưu .bak khi gặp sự cố</t>
  </si>
  <si>
    <t>Có file .bak trong thư mục backups.</t>
  </si>
  <si>
    <t>1. Mở SSMS, chọn Restore Database từ file .bak mới nhất.</t>
  </si>
  <si>
    <t>Restore file .bak</t>
  </si>
  <si>
    <t>Khôi phục toàn bộ bảng và dữ liệu về trạng thái hoàn hảo 100%.</t>
  </si>
  <si>
    <t>TC_NFR_012</t>
  </si>
  <si>
    <t>Bảo mật Avatar</t>
  </si>
  <si>
    <t>Chặn tải lên file độc hại giả dạng file ảnh (File Upload Security)</t>
  </si>
  <si>
    <t>Tại tính năng đổi Avatar.</t>
  </si>
  <si>
    <t>1. Thử đổi đuôi file mã độc .exe / .sh thành .jpg và tải lên.</t>
  </si>
  <si>
    <t>malicious_file.exe.jpg</t>
  </si>
  <si>
    <t>Backend kiểm tra định dạng và MIME type thực tế, từ chối tải lên file không hợp lệ.</t>
  </si>
  <si>
    <t>TC_NFR_013</t>
  </si>
  <si>
    <t>Bàn phím ảo</t>
  </si>
  <si>
    <t>Kiểm tra bàn phím ảo không che khuất các ô nhập liệu phía dưới</t>
  </si>
  <si>
    <t>Ở form tạo đề tài hoặc nộp báo cáo.</t>
  </si>
  <si>
    <t>1. Chạm vào ô nhập liệu cuối cùng để bàn phím ảo bật lên.</t>
  </si>
  <si>
    <t>Virtual keyboard</t>
  </si>
  <si>
    <t>Màn hình tự động cuộn lên trên (ViewInsets padding), con trỏ và nút bấm không bị che khuất.</t>
  </si>
  <si>
    <t>TC_NFR_014</t>
  </si>
  <si>
    <t>Cử chỉ Back</t>
  </si>
  <si>
    <t>Cử chỉ vuốt quay lại (Gesture Back) khi đang nhập dở dữ liệu form</t>
  </si>
  <si>
    <t>Đang nhập dở form đề xuất đề tài.</t>
  </si>
  <si>
    <t>1. Vuốt cạnh màn hình để Back ra ngoài.</t>
  </si>
  <si>
    <t>Back gesture</t>
  </si>
  <si>
    <t>Hiển thị hộp thoại xác nhận: 'Bạn có muốn hủy bỏ thông tin đang nhập không?'. Bấm Hủy sẽ giữ nguyên form.</t>
  </si>
  <si>
    <t>TC_NFR_015</t>
  </si>
  <si>
    <t>Bộ nhớ &amp; RAM</t>
  </si>
  <si>
    <t>Kiểm tra mức độ tiêu thụ RAM khi sử dụng app liên tục 30 phút</t>
  </si>
  <si>
    <t>Mở app và thao tác liên tục qua lại giữa các màn hình.</t>
  </si>
  <si>
    <t>1. Theo dõi dung lượng RAM chiếm dụng qua Android Profiler.</t>
  </si>
  <si>
    <t>RAM usage test</t>
  </si>
  <si>
    <t>Dung lượng RAM ổn định trong khoảng 150MB - 250MB, không bị rò rỉ bộ nhớ (Memory Leak), không bị văng app.</t>
  </si>
  <si>
    <t>TC_NFR_016</t>
  </si>
  <si>
    <t>Khôi phục State</t>
  </si>
  <si>
    <t>Khôi phục trạng thái app khi bị đưa xuống nền (Background) trong thời gian dài</t>
  </si>
  <si>
    <t>Đang ở màn hình Chi tiết đề tài.</t>
  </si>
  <si>
    <t>1. Bấm Home về màn hình chính Android.
2. Mở ứng dụng khác 10 phút.
3. Mở lại ProGroup AI.</t>
  </si>
  <si>
    <t>App lifecycle state</t>
  </si>
  <si>
    <t>App phục hồi đúng ngay màn hình Chi tiết đề tài đang xem, không bị reload về màn hình Đăng nhập.</t>
  </si>
  <si>
    <t>🎓 HỆ THỐNG PROGROUP AI - TÀI LIỆU KỊCH BẢN KIỂM THỬ TOÀN DIỆN (200 TEST CASES)</t>
  </si>
  <si>
    <t>Dự án: Phát triển Ứng dụng Di động Quản lý &amp; Đăng ký Đồ án Tích hợp Trí tuệ Nhân tạo | Bộ kịch bản chuẩn: 200 Test Cases (8 Sheets)</t>
  </si>
  <si>
    <t>📌 THÔNG TIN DỰ ÁN &amp; MÔI TRƯỜNG KIỂM THỬ</t>
  </si>
  <si>
    <t>Tên dự án:</t>
  </si>
  <si>
    <t>ProGroup AI (Hệ thống Đăng ký &amp; Quản lý Đồ án Tích hợp AI)</t>
  </si>
  <si>
    <t>Nền tảng kiểm thử Client:</t>
  </si>
  <si>
    <t>Android Mobile (Thiết bị thật qua cáp USB / Android Emulator)</t>
  </si>
  <si>
    <t>Kiến trúc Backend &amp; API:</t>
  </si>
  <si>
    <t>ASP.NET Core Web API 10.0 (Port 5094) + Entity Framework Core</t>
  </si>
  <si>
    <t>Cơ sở dữ liệu:</t>
  </si>
  <si>
    <t>Microsoft SQL Server 2019+ (Database: ProjectRegistrationDB)</t>
  </si>
  <si>
    <t>Tích hợp AI:</t>
  </si>
  <si>
    <t>Google Gemini AI (Gợi ý đề tài, Phân tích học vụ khoa)</t>
  </si>
  <si>
    <t>Người thực hiện kiểm thử:</t>
  </si>
  <si>
    <t>[Họ và tên Tester ghi tại đây]</t>
  </si>
  <si>
    <t>Ngày bắt đầu kiểm thử:</t>
  </si>
  <si>
    <t>[DD/MM/YYYY]</t>
  </si>
  <si>
    <t>Trạng thái dự án:</t>
  </si>
  <si>
    <t>Sẵn sàng bàn giao &amp; Nghiệm thu đồ án</t>
  </si>
  <si>
    <t>📊 BẢNG THEO DÕI TIẾN ĐỘ &amp; KẾT QUẢ KIỂM THỬ THEO PHÂN HỆ</t>
  </si>
  <si>
    <t>STT</t>
  </si>
  <si>
    <t>Phân hệ / Sheet Kiểm thử</t>
  </si>
  <si>
    <t>Tổng số TC</t>
  </si>
  <si>
    <t>Đạt (Pass)</t>
  </si>
  <si>
    <t>Lỗi (Fail)</t>
  </si>
  <si>
    <t>Chặn (Blocked)</t>
  </si>
  <si>
    <t>Chưa test</t>
  </si>
  <si>
    <t>Tỷ lệ Đạt (%)</t>
  </si>
  <si>
    <t>1</t>
  </si>
  <si>
    <t>2. Xác thực &amp; Hệ thống</t>
  </si>
  <si>
    <t>2</t>
  </si>
  <si>
    <t>3. Phân hệ Sinh viên</t>
  </si>
  <si>
    <t>3</t>
  </si>
  <si>
    <t>4. Phân hệ Giảng viên</t>
  </si>
  <si>
    <t>4</t>
  </si>
  <si>
    <t>5. Giáo vụ khoa</t>
  </si>
  <si>
    <t>5</t>
  </si>
  <si>
    <t>6. Phòng đào tạo</t>
  </si>
  <si>
    <t>6</t>
  </si>
  <si>
    <t>7. Quản trị hệ thống</t>
  </si>
  <si>
    <t>7</t>
  </si>
  <si>
    <t>8. Phi chức năng &amp; Bảo mật</t>
  </si>
  <si>
    <t>TỔNG CỘNG TOÀN HỆ THỐNG</t>
  </si>
  <si>
    <t>📖 HƯỚNG DẪN DÀNH CHO TESTER KHI THỰC HIỆN KIỂM THỬ</t>
  </si>
  <si>
    <t>Quy ước Trạng thái (Status):</t>
  </si>
  <si>
    <t>• Pass: Tính năng chạy đúng 100% kết quả mong đợi. | • Fail: Có lỗi/sai logic/crash. | • Blocked: Bị nghéz do lỗi module khác. | • Untested: Chưa kiểm tra.</t>
  </si>
  <si>
    <t>Quy ước Mức độ nghiêm trọng (Severity):</t>
  </si>
  <si>
    <t>• Critical: Crash app, không đăng nhập được, mất dữ liệu. | • High: Sai luồng nghiệp vụ chính, duyệt/đăng ký thất bại. | • Medium: Lỗi giao diện, sai text, filter không đúng. | • Low: Lỗi thẩm mỹ nhỏ, chính tả.</t>
  </si>
  <si>
    <t>Tài khoản kiểm thử mặc định:</t>
  </si>
  <si>
    <t>Sinh viên: sv001 (123456) | Giảng viên: gv001 (123456) | Giáo vụ: gvk.demo (123456) | Đào tạo: pdt.demo (123456) | Admin: admin.demo (123456)</t>
  </si>
  <si>
    <t>Lưu ý kết nối máy chủ:</t>
  </si>
  <si>
    <t>Khi test trên điện thoại thật cắm cáp USB, đảm bảo đã chạy 'adb reverse tcp:5094 tcp:5094' và Backend API đang lắng nghe tại cổng 5094.</t>
  </si>
</sst>
</file>

<file path=xl/styles.xml><?xml version="1.0" encoding="utf-8"?>
<styleSheet xmlns="http://schemas.openxmlformats.org/spreadsheetml/2006/main">
  <numFmts count="1">
    <numFmt numFmtId="164" formatCode="0.0%"/>
  </numFmts>
  <fonts count="14">
    <font>
      <sz val="11"/>
      <color theme="1"/>
      <name val="Calibri"/>
      <family val="2"/>
      <scheme val="minor"/>
    </font>
    <font>
      <b/>
      <sz val="18"/>
      <color rgb="FFFFFFFF"/>
      <name val="Segoe UI"/>
      <family val="2"/>
    </font>
    <font>
      <i/>
      <sz val="10"/>
      <color rgb="FFE2E8F0"/>
      <name val="Segoe UI"/>
      <family val="2"/>
    </font>
    <font>
      <b/>
      <sz val="11"/>
      <color rgb="FF1E3A5F"/>
      <name val="Segoe UI"/>
      <family val="2"/>
    </font>
    <font>
      <b/>
      <sz val="10"/>
      <color rgb="FF334155"/>
      <name val="Segoe UI"/>
      <family val="2"/>
    </font>
    <font>
      <sz val="10"/>
      <color theme="1"/>
      <name val="Segoe UI"/>
      <family val="2"/>
    </font>
    <font>
      <b/>
      <sz val="10"/>
      <color rgb="FFFFFFFF"/>
      <name val="Segoe UI"/>
      <family val="2"/>
    </font>
    <font>
      <sz val="9.5"/>
      <color theme="1"/>
      <name val="Segoe UI"/>
      <family val="2"/>
    </font>
    <font>
      <b/>
      <sz val="10"/>
      <color theme="1"/>
      <name val="Segoe UI"/>
      <family val="2"/>
    </font>
    <font>
      <b/>
      <sz val="9.5"/>
      <color theme="1"/>
      <name val="Segoe UI"/>
      <family val="2"/>
    </font>
    <font>
      <b/>
      <sz val="9"/>
      <color rgb="FF991B1B"/>
      <name val="Segoe UI"/>
      <family val="2"/>
    </font>
    <font>
      <b/>
      <sz val="9"/>
      <color rgb="FFC2410C"/>
      <name val="Segoe UI"/>
      <family val="2"/>
    </font>
    <font>
      <b/>
      <sz val="9"/>
      <color rgb="FF1D4ED8"/>
      <name val="Segoe UI"/>
      <family val="2"/>
    </font>
    <font>
      <sz val="9"/>
      <color rgb="FF475569"/>
      <name val="Segoe UI"/>
      <family val="2"/>
    </font>
  </fonts>
  <fills count="9">
    <fill>
      <patternFill patternType="none"/>
    </fill>
    <fill>
      <patternFill patternType="gray125"/>
    </fill>
    <fill>
      <patternFill patternType="solid">
        <fgColor rgb="FF1E3A5F"/>
        <bgColor indexed="64"/>
      </patternFill>
    </fill>
    <fill>
      <patternFill patternType="solid">
        <fgColor rgb="FFE2E8F0"/>
        <bgColor indexed="64"/>
      </patternFill>
    </fill>
    <fill>
      <patternFill patternType="solid">
        <fgColor rgb="FFF1F5F9"/>
        <bgColor indexed="64"/>
      </patternFill>
    </fill>
    <fill>
      <patternFill patternType="solid">
        <fgColor rgb="FFFEE2E2"/>
        <bgColor indexed="64"/>
      </patternFill>
    </fill>
    <fill>
      <patternFill patternType="solid">
        <fgColor rgb="FFF8FAFC"/>
        <bgColor indexed="64"/>
      </patternFill>
    </fill>
    <fill>
      <patternFill patternType="solid">
        <fgColor rgb="FFFFEDD5"/>
        <bgColor indexed="64"/>
      </patternFill>
    </fill>
    <fill>
      <patternFill patternType="solid">
        <fgColor rgb="FFDBEAFE"/>
        <bgColor indexed="64"/>
      </patternFill>
    </fill>
  </fills>
  <borders count="5">
    <border>
      <left/>
      <right/>
      <top/>
      <bottom/>
      <diagonal/>
    </border>
    <border>
      <left/>
      <right/>
      <top/>
      <bottom style="medium">
        <color rgb="FF1E3A5F"/>
      </bottom>
      <diagonal/>
    </border>
    <border>
      <left style="thin">
        <color rgb="FFCBD5E1"/>
      </left>
      <right style="thin">
        <color rgb="FFCBD5E1"/>
      </right>
      <top style="thin">
        <color rgb="FFCBD5E1"/>
      </top>
      <bottom style="thin">
        <color rgb="FFCBD5E1"/>
      </bottom>
      <diagonal/>
    </border>
    <border>
      <left style="thin">
        <color rgb="FFE2E8F0"/>
      </left>
      <right style="thin">
        <color rgb="FFE2E8F0"/>
      </right>
      <top style="thin">
        <color rgb="FFE2E8F0"/>
      </top>
      <bottom style="thin">
        <color rgb="FFE2E8F0"/>
      </bottom>
      <diagonal/>
    </border>
    <border>
      <left style="thin">
        <color auto="1"/>
      </left>
      <right style="thin">
        <color auto="1"/>
      </right>
      <top style="thin">
        <color auto="1"/>
      </top>
      <bottom style="thin">
        <color auto="1"/>
      </bottom>
      <diagonal/>
    </border>
  </borders>
  <cellStyleXfs count="1">
    <xf numFmtId="0" fontId="0" fillId="0" borderId="0"/>
  </cellStyleXfs>
  <cellXfs count="18">
    <xf numFmtId="0" fontId="0" fillId="0" borderId="0" xfId="0"/>
    <xf numFmtId="0" fontId="1" fillId="2" borderId="0" xfId="0" applyFont="1" applyFill="1" applyAlignment="1">
      <alignment horizontal="center" vertical="center" wrapText="1"/>
    </xf>
    <xf numFmtId="0" fontId="2" fillId="2" borderId="0" xfId="0" applyFont="1" applyFill="1" applyAlignment="1">
      <alignment horizontal="center" vertical="center"/>
    </xf>
    <xf numFmtId="0" fontId="3" fillId="3" borderId="1" xfId="0" applyFont="1" applyFill="1" applyBorder="1" applyAlignment="1">
      <alignment vertical="center"/>
    </xf>
    <xf numFmtId="0" fontId="4" fillId="4" borderId="2" xfId="0" applyFont="1" applyFill="1" applyBorder="1" applyAlignment="1">
      <alignment vertical="center"/>
    </xf>
    <xf numFmtId="0" fontId="5" fillId="0" borderId="2" xfId="0" applyFont="1" applyBorder="1" applyAlignment="1">
      <alignment vertical="center"/>
    </xf>
    <xf numFmtId="0" fontId="6" fillId="2" borderId="2" xfId="0" applyFont="1" applyFill="1" applyBorder="1" applyAlignment="1">
      <alignment horizontal="center" vertical="center" wrapText="1"/>
    </xf>
    <xf numFmtId="0" fontId="7" fillId="0" borderId="3" xfId="0" applyFont="1" applyBorder="1" applyAlignment="1">
      <alignment horizontal="center" vertical="center"/>
    </xf>
    <xf numFmtId="0" fontId="7" fillId="0" borderId="3" xfId="0" applyFont="1" applyBorder="1" applyAlignment="1">
      <alignment vertical="center" wrapText="1"/>
    </xf>
    <xf numFmtId="0" fontId="8" fillId="0" borderId="2" xfId="0" applyFont="1" applyBorder="1" applyAlignment="1">
      <alignment horizontal="center" vertical="center"/>
    </xf>
    <xf numFmtId="164" fontId="9" fillId="0" borderId="2" xfId="0" applyNumberFormat="1" applyFont="1" applyBorder="1" applyAlignment="1">
      <alignment horizontal="center" vertical="center"/>
    </xf>
    <xf numFmtId="164" fontId="6" fillId="2" borderId="4" xfId="0" applyNumberFormat="1" applyFont="1" applyFill="1" applyBorder="1" applyAlignment="1">
      <alignment horizontal="center" vertical="center"/>
    </xf>
    <xf numFmtId="0" fontId="10" fillId="5" borderId="3" xfId="0" applyFont="1" applyFill="1" applyBorder="1" applyAlignment="1">
      <alignment horizontal="center" vertical="center"/>
    </xf>
    <xf numFmtId="0" fontId="7" fillId="6" borderId="3" xfId="0" applyFont="1" applyFill="1" applyBorder="1" applyAlignment="1">
      <alignment horizontal="center" vertical="center"/>
    </xf>
    <xf numFmtId="0" fontId="7" fillId="6" borderId="3" xfId="0" applyFont="1" applyFill="1" applyBorder="1" applyAlignment="1">
      <alignment vertical="center" wrapText="1"/>
    </xf>
    <xf numFmtId="0" fontId="11" fillId="7" borderId="3" xfId="0" applyFont="1" applyFill="1" applyBorder="1" applyAlignment="1">
      <alignment horizontal="center" vertical="center"/>
    </xf>
    <xf numFmtId="0" fontId="12" fillId="8" borderId="3" xfId="0" applyFont="1" applyFill="1" applyBorder="1" applyAlignment="1">
      <alignment horizontal="center" vertical="center"/>
    </xf>
    <xf numFmtId="0" fontId="13" fillId="4" borderId="3" xfId="0" applyFont="1" applyFill="1" applyBorder="1" applyAlignment="1">
      <alignment horizontal="center"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127.0.0.1:5094" TargetMode="External"/><Relationship Id="rId2" Type="http://schemas.openxmlformats.org/officeDocument/2006/relationships/hyperlink" Target="http://192.168.x.x:5094" TargetMode="External"/></Relationships>
</file>

<file path=xl/worksheets/sheet1.xml><?xml version="1.0" encoding="utf-8"?>
<worksheet xmlns="http://schemas.openxmlformats.org/spreadsheetml/2006/main" xmlns:r="http://schemas.openxmlformats.org/officeDocument/2006/relationships">
  <sheetPr>
    <tabColor rgb="FF1E3A5F"/>
  </sheetPr>
  <dimension ref="B2:I31"/>
  <sheetViews>
    <sheetView tabSelected="1" workbookViewId="0"/>
  </sheetViews>
  <sheetFormatPr defaultRowHeight="15"/>
  <cols>
    <col min="1" max="1" width="4.7109375" customWidth="1"/>
    <col min="2" max="2" width="28.7109375" customWidth="1"/>
    <col min="3" max="3" width="38.7109375" customWidth="1"/>
    <col min="4" max="7" width="15.7109375" customWidth="1"/>
    <col min="8" max="8" width="18.7109375" customWidth="1"/>
  </cols>
  <sheetData>
    <row r="2" spans="2:8" ht="35" customHeight="1">
      <c r="B2" s="1" t="s">
        <v>1301</v>
      </c>
      <c r="C2" s="1"/>
      <c r="D2" s="1"/>
      <c r="E2" s="1"/>
      <c r="F2" s="1"/>
      <c r="G2" s="1"/>
      <c r="H2" s="1"/>
    </row>
    <row r="3" spans="2:8" ht="20" customHeight="1">
      <c r="B3" s="2" t="s">
        <v>1302</v>
      </c>
      <c r="C3" s="2"/>
      <c r="D3" s="2"/>
      <c r="E3" s="2"/>
      <c r="F3" s="2"/>
      <c r="G3" s="2"/>
      <c r="H3" s="2"/>
    </row>
    <row r="5" spans="2:8">
      <c r="B5" s="3" t="s">
        <v>1303</v>
      </c>
      <c r="C5" s="3"/>
    </row>
    <row r="6" spans="2:8">
      <c r="B6" s="4" t="s">
        <v>1304</v>
      </c>
      <c r="C6" s="5" t="s">
        <v>1305</v>
      </c>
    </row>
    <row r="7" spans="2:8">
      <c r="B7" s="4" t="s">
        <v>1306</v>
      </c>
      <c r="C7" s="5" t="s">
        <v>1307</v>
      </c>
    </row>
    <row r="8" spans="2:8">
      <c r="B8" s="4" t="s">
        <v>1308</v>
      </c>
      <c r="C8" s="5" t="s">
        <v>1309</v>
      </c>
    </row>
    <row r="9" spans="2:8">
      <c r="B9" s="4" t="s">
        <v>1310</v>
      </c>
      <c r="C9" s="5" t="s">
        <v>1311</v>
      </c>
    </row>
    <row r="10" spans="2:8">
      <c r="B10" s="4" t="s">
        <v>1312</v>
      </c>
      <c r="C10" s="5" t="s">
        <v>1313</v>
      </c>
    </row>
    <row r="11" spans="2:8">
      <c r="B11" s="4" t="s">
        <v>1314</v>
      </c>
      <c r="C11" s="5" t="s">
        <v>1315</v>
      </c>
    </row>
    <row r="12" spans="2:8">
      <c r="B12" s="4" t="s">
        <v>1316</v>
      </c>
      <c r="C12" s="5" t="s">
        <v>1317</v>
      </c>
    </row>
    <row r="13" spans="2:8">
      <c r="B13" s="4" t="s">
        <v>1318</v>
      </c>
      <c r="C13" s="5" t="s">
        <v>1319</v>
      </c>
    </row>
    <row r="15" spans="2:8">
      <c r="B15" s="3" t="s">
        <v>1320</v>
      </c>
      <c r="C15" s="3"/>
      <c r="D15" s="3"/>
      <c r="E15" s="3"/>
      <c r="F15" s="3"/>
      <c r="G15" s="3"/>
      <c r="H15" s="3"/>
    </row>
    <row r="17" spans="2:9">
      <c r="B17" s="6" t="s">
        <v>1321</v>
      </c>
      <c r="C17" s="6" t="s">
        <v>1322</v>
      </c>
      <c r="D17" s="6" t="s">
        <v>1323</v>
      </c>
      <c r="E17" s="6" t="s">
        <v>1324</v>
      </c>
      <c r="F17" s="6" t="s">
        <v>1325</v>
      </c>
      <c r="G17" s="6" t="s">
        <v>1326</v>
      </c>
      <c r="H17" s="6" t="s">
        <v>1327</v>
      </c>
      <c r="I17" s="6" t="s">
        <v>1328</v>
      </c>
    </row>
    <row r="18" spans="2:9">
      <c r="B18" s="7" t="s">
        <v>1329</v>
      </c>
      <c r="C18" s="8" t="s">
        <v>1330</v>
      </c>
      <c r="D18" s="9">
        <v>28</v>
      </c>
      <c r="E18" s="7">
        <f>COUNTIF('2. Xác thực &amp; Hệ thống'!K3:K30, "Pass")</f>
        <v>0</v>
      </c>
      <c r="F18" s="7">
        <f>COUNTIF('2. Xác thực &amp; Hệ thống'!K3:K30, "Fail")</f>
        <v>0</v>
      </c>
      <c r="G18" s="7">
        <f>COUNTIF('2. Xác thực &amp; Hệ thống'!K3:K30, "Blocked")</f>
        <v>0</v>
      </c>
      <c r="H18" s="7">
        <f>D18-E18-F18-G18</f>
        <v>0</v>
      </c>
      <c r="I18" s="10">
        <f>IF(D18&gt;0, E18/D18, 0)</f>
        <v>0</v>
      </c>
    </row>
    <row r="19" spans="2:9">
      <c r="B19" s="7" t="s">
        <v>1331</v>
      </c>
      <c r="C19" s="8" t="s">
        <v>1332</v>
      </c>
      <c r="D19" s="9">
        <v>57</v>
      </c>
      <c r="E19" s="7">
        <f>COUNTIF('3. Phân hệ Sinh viên'!K3:K59, "Pass")</f>
        <v>0</v>
      </c>
      <c r="F19" s="7">
        <f>COUNTIF('3. Phân hệ Sinh viên'!K3:K59, "Fail")</f>
        <v>0</v>
      </c>
      <c r="G19" s="7">
        <f>COUNTIF('3. Phân hệ Sinh viên'!K3:K59, "Blocked")</f>
        <v>0</v>
      </c>
      <c r="H19" s="7">
        <f>D19-E19-F19-G19</f>
        <v>0</v>
      </c>
      <c r="I19" s="10">
        <f>IF(D19&gt;0, E19/D19, 0)</f>
        <v>0</v>
      </c>
    </row>
    <row r="20" spans="2:9">
      <c r="B20" s="7" t="s">
        <v>1333</v>
      </c>
      <c r="C20" s="8" t="s">
        <v>1334</v>
      </c>
      <c r="D20" s="9">
        <v>30</v>
      </c>
      <c r="E20" s="7">
        <f>COUNTIF('4. Phân hệ Giảng viên'!K3:K32, "Pass")</f>
        <v>0</v>
      </c>
      <c r="F20" s="7">
        <f>COUNTIF('4. Phân hệ Giảng viên'!K3:K32, "Fail")</f>
        <v>0</v>
      </c>
      <c r="G20" s="7">
        <f>COUNTIF('4. Phân hệ Giảng viên'!K3:K32, "Blocked")</f>
        <v>0</v>
      </c>
      <c r="H20" s="7">
        <f>D20-E20-F20-G20</f>
        <v>0</v>
      </c>
      <c r="I20" s="10">
        <f>IF(D20&gt;0, E20/D20, 0)</f>
        <v>0</v>
      </c>
    </row>
    <row r="21" spans="2:9">
      <c r="B21" s="7" t="s">
        <v>1335</v>
      </c>
      <c r="C21" s="8" t="s">
        <v>1336</v>
      </c>
      <c r="D21" s="9">
        <v>25</v>
      </c>
      <c r="E21" s="7">
        <f>COUNTIF('5. Giáo vụ khoa'!K3:K27, "Pass")</f>
        <v>0</v>
      </c>
      <c r="F21" s="7">
        <f>COUNTIF('5. Giáo vụ khoa'!K3:K27, "Fail")</f>
        <v>0</v>
      </c>
      <c r="G21" s="7">
        <f>COUNTIF('5. Giáo vụ khoa'!K3:K27, "Blocked")</f>
        <v>0</v>
      </c>
      <c r="H21" s="7">
        <f>D21-E21-F21-G21</f>
        <v>0</v>
      </c>
      <c r="I21" s="10">
        <f>IF(D21&gt;0, E21/D21, 0)</f>
        <v>0</v>
      </c>
    </row>
    <row r="22" spans="2:9">
      <c r="B22" s="7" t="s">
        <v>1337</v>
      </c>
      <c r="C22" s="8" t="s">
        <v>1338</v>
      </c>
      <c r="D22" s="9">
        <v>20</v>
      </c>
      <c r="E22" s="7">
        <f>COUNTIF('6. Phòng đào tạo'!K3:K22, "Pass")</f>
        <v>0</v>
      </c>
      <c r="F22" s="7">
        <f>COUNTIF('6. Phòng đào tạo'!K3:K22, "Fail")</f>
        <v>0</v>
      </c>
      <c r="G22" s="7">
        <f>COUNTIF('6. Phòng đào tạo'!K3:K22, "Blocked")</f>
        <v>0</v>
      </c>
      <c r="H22" s="7">
        <f>D22-E22-F22-G22</f>
        <v>0</v>
      </c>
      <c r="I22" s="10">
        <f>IF(D22&gt;0, E22/D22, 0)</f>
        <v>0</v>
      </c>
    </row>
    <row r="23" spans="2:9">
      <c r="B23" s="7" t="s">
        <v>1339</v>
      </c>
      <c r="C23" s="8" t="s">
        <v>1340</v>
      </c>
      <c r="D23" s="9">
        <v>24</v>
      </c>
      <c r="E23" s="7">
        <f>COUNTIF('7. Quản trị hệ thống'!K3:K26, "Pass")</f>
        <v>0</v>
      </c>
      <c r="F23" s="7">
        <f>COUNTIF('7. Quản trị hệ thống'!K3:K26, "Fail")</f>
        <v>0</v>
      </c>
      <c r="G23" s="7">
        <f>COUNTIF('7. Quản trị hệ thống'!K3:K26, "Blocked")</f>
        <v>0</v>
      </c>
      <c r="H23" s="7">
        <f>D23-E23-F23-G23</f>
        <v>0</v>
      </c>
      <c r="I23" s="10">
        <f>IF(D23&gt;0, E23/D23, 0)</f>
        <v>0</v>
      </c>
    </row>
    <row r="24" spans="2:9">
      <c r="B24" s="7" t="s">
        <v>1341</v>
      </c>
      <c r="C24" s="8" t="s">
        <v>1342</v>
      </c>
      <c r="D24" s="9">
        <v>16</v>
      </c>
      <c r="E24" s="7">
        <f>COUNTIF('8. Phi chức năng &amp; Bảo mật'!K3:K18, "Pass")</f>
        <v>0</v>
      </c>
      <c r="F24" s="7">
        <f>COUNTIF('8. Phi chức năng &amp; Bảo mật'!K3:K18, "Fail")</f>
        <v>0</v>
      </c>
      <c r="G24" s="7">
        <f>COUNTIF('8. Phi chức năng &amp; Bảo mật'!K3:K18, "Blocked")</f>
        <v>0</v>
      </c>
      <c r="H24" s="7">
        <f>D24-E24-F24-G24</f>
        <v>0</v>
      </c>
      <c r="I24" s="10">
        <f>IF(D24&gt;0, E24/D24, 0)</f>
        <v>0</v>
      </c>
    </row>
    <row r="25" spans="2:9">
      <c r="B25" s="6" t="s">
        <v>1343</v>
      </c>
      <c r="C25" s="6"/>
      <c r="D25" s="6">
        <f>SUM(D18:D24)</f>
        <v>0</v>
      </c>
      <c r="E25" s="6">
        <f>SUM(E18:E24)</f>
        <v>0</v>
      </c>
      <c r="F25" s="6">
        <f>SUM(F18:F24)</f>
        <v>0</v>
      </c>
      <c r="G25" s="6">
        <f>SUM(G18:G24)</f>
        <v>0</v>
      </c>
      <c r="H25" s="6">
        <f>SUM(H18:H24)</f>
        <v>0</v>
      </c>
      <c r="I25" s="11">
        <f>IF(D25&gt;0, E25/D25, 0)</f>
        <v>0</v>
      </c>
    </row>
    <row r="27" spans="2:9">
      <c r="B27" s="3" t="s">
        <v>1344</v>
      </c>
      <c r="C27" s="3"/>
      <c r="D27" s="3"/>
      <c r="E27" s="3"/>
      <c r="F27" s="3"/>
      <c r="G27" s="3"/>
      <c r="H27" s="3"/>
      <c r="I27" s="3"/>
    </row>
    <row r="28" spans="2:9">
      <c r="B28" s="4" t="s">
        <v>1345</v>
      </c>
      <c r="C28" s="5" t="s">
        <v>1346</v>
      </c>
      <c r="D28" s="5"/>
      <c r="E28" s="5"/>
      <c r="F28" s="5"/>
      <c r="G28" s="5"/>
      <c r="H28" s="5"/>
      <c r="I28" s="5"/>
    </row>
    <row r="29" spans="2:9">
      <c r="B29" s="4" t="s">
        <v>1347</v>
      </c>
      <c r="C29" s="5" t="s">
        <v>1348</v>
      </c>
      <c r="D29" s="5"/>
      <c r="E29" s="5"/>
      <c r="F29" s="5"/>
      <c r="G29" s="5"/>
      <c r="H29" s="5"/>
      <c r="I29" s="5"/>
    </row>
    <row r="30" spans="2:9">
      <c r="B30" s="4" t="s">
        <v>1349</v>
      </c>
      <c r="C30" s="5" t="s">
        <v>1350</v>
      </c>
      <c r="D30" s="5"/>
      <c r="E30" s="5"/>
      <c r="F30" s="5"/>
      <c r="G30" s="5"/>
      <c r="H30" s="5"/>
      <c r="I30" s="5"/>
    </row>
    <row r="31" spans="2:9">
      <c r="B31" s="4" t="s">
        <v>1351</v>
      </c>
      <c r="C31" s="5" t="s">
        <v>1352</v>
      </c>
      <c r="D31" s="5"/>
      <c r="E31" s="5"/>
      <c r="F31" s="5"/>
      <c r="G31" s="5"/>
      <c r="H31" s="5"/>
      <c r="I31" s="5"/>
    </row>
  </sheetData>
  <mergeCells count="10">
    <mergeCell ref="B2:H2"/>
    <mergeCell ref="B3:H3"/>
    <mergeCell ref="B5:C5"/>
    <mergeCell ref="B15:H15"/>
    <mergeCell ref="B25:C25"/>
    <mergeCell ref="B27:I27"/>
    <mergeCell ref="C28:I28"/>
    <mergeCell ref="C29:I29"/>
    <mergeCell ref="C30:I30"/>
    <mergeCell ref="C31:I31"/>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E3A5F"/>
  </sheetPr>
  <dimension ref="A1:N30"/>
  <sheetViews>
    <sheetView workbookViewId="0">
      <pane xSplit="2" ySplit="2" topLeftCell="C3" activePane="bottomRight" state="frozen"/>
      <selection pane="topRight" activeCell="C1" sqref="C1"/>
      <selection pane="bottomLeft" activeCell="A3" sqref="A3"/>
      <selection pane="bottomRight"/>
    </sheetView>
  </sheetViews>
  <sheetFormatPr defaultRowHeight="15"/>
  <cols>
    <col min="1" max="1" width="14.7109375" customWidth="1"/>
    <col min="2" max="2" width="20.7109375" customWidth="1"/>
    <col min="3" max="3" width="30.7109375" customWidth="1"/>
    <col min="4" max="4" width="25.7109375" customWidth="1"/>
    <col min="5" max="5" width="34.7109375" customWidth="1"/>
    <col min="6" max="6" width="24.7109375" customWidth="1"/>
    <col min="7" max="7" width="34.7109375" customWidth="1"/>
    <col min="8" max="8" width="12.7109375" customWidth="1"/>
    <col min="9" max="9" width="10.7109375" customWidth="1"/>
    <col min="10" max="10" width="26.7109375" customWidth="1"/>
    <col min="11" max="11" width="12.7109375" customWidth="1"/>
    <col min="12" max="12" width="22.7109375" customWidth="1"/>
    <col min="13" max="13" width="14.7109375" customWidth="1"/>
    <col min="14" max="14" width="13.7109375" customWidth="1"/>
  </cols>
  <sheetData>
    <row r="1" spans="1:14" ht="32" customHeight="1">
      <c r="A1" s="1" t="s">
        <v>0</v>
      </c>
      <c r="B1" s="1"/>
      <c r="C1" s="1"/>
      <c r="D1" s="1"/>
      <c r="E1" s="1"/>
      <c r="F1" s="1"/>
      <c r="G1" s="1"/>
      <c r="H1" s="1"/>
      <c r="I1" s="1"/>
      <c r="J1" s="1"/>
      <c r="K1" s="1"/>
      <c r="L1" s="1"/>
      <c r="M1" s="1"/>
      <c r="N1" s="1"/>
    </row>
    <row r="2" spans="1:14" ht="28" customHeight="1">
      <c r="A2" s="6" t="s">
        <v>1</v>
      </c>
      <c r="B2" s="6" t="s">
        <v>2</v>
      </c>
      <c r="C2" s="6" t="s">
        <v>3</v>
      </c>
      <c r="D2" s="6" t="s">
        <v>4</v>
      </c>
      <c r="E2" s="6" t="s">
        <v>5</v>
      </c>
      <c r="F2" s="6" t="s">
        <v>6</v>
      </c>
      <c r="G2" s="6" t="s">
        <v>7</v>
      </c>
      <c r="H2" s="6" t="s">
        <v>8</v>
      </c>
      <c r="I2" s="6" t="s">
        <v>9</v>
      </c>
      <c r="J2" s="6" t="s">
        <v>10</v>
      </c>
      <c r="K2" s="6" t="s">
        <v>11</v>
      </c>
      <c r="L2" s="6" t="s">
        <v>12</v>
      </c>
      <c r="M2" s="6" t="s">
        <v>13</v>
      </c>
      <c r="N2" s="6" t="s">
        <v>14</v>
      </c>
    </row>
    <row r="3" spans="1:14" ht="48" customHeight="1">
      <c r="A3" s="7" t="s">
        <v>15</v>
      </c>
      <c r="B3" s="8" t="s">
        <v>16</v>
      </c>
      <c r="C3" s="8" t="s">
        <v>17</v>
      </c>
      <c r="D3" s="8" t="s">
        <v>18</v>
      </c>
      <c r="E3" s="8" t="s">
        <v>19</v>
      </c>
      <c r="F3" s="8" t="s">
        <v>20</v>
      </c>
      <c r="G3" s="8" t="s">
        <v>21</v>
      </c>
      <c r="H3" s="12" t="s">
        <v>22</v>
      </c>
      <c r="I3" s="7" t="s">
        <v>23</v>
      </c>
      <c r="J3" s="8"/>
      <c r="K3" s="7"/>
      <c r="L3" s="8"/>
      <c r="M3" s="7"/>
      <c r="N3" s="7"/>
    </row>
    <row r="4" spans="1:14" ht="48" customHeight="1">
      <c r="A4" s="13" t="s">
        <v>24</v>
      </c>
      <c r="B4" s="14" t="s">
        <v>16</v>
      </c>
      <c r="C4" s="14" t="s">
        <v>25</v>
      </c>
      <c r="D4" s="14" t="s">
        <v>26</v>
      </c>
      <c r="E4" s="14" t="s">
        <v>27</v>
      </c>
      <c r="F4" s="14" t="s">
        <v>28</v>
      </c>
      <c r="G4" s="14" t="s">
        <v>29</v>
      </c>
      <c r="H4" s="12" t="s">
        <v>22</v>
      </c>
      <c r="I4" s="13" t="s">
        <v>23</v>
      </c>
      <c r="J4" s="14"/>
      <c r="K4" s="13"/>
      <c r="L4" s="14"/>
      <c r="M4" s="13"/>
      <c r="N4" s="13"/>
    </row>
    <row r="5" spans="1:14" ht="48" customHeight="1">
      <c r="A5" s="7" t="s">
        <v>30</v>
      </c>
      <c r="B5" s="8" t="s">
        <v>16</v>
      </c>
      <c r="C5" s="8" t="s">
        <v>31</v>
      </c>
      <c r="D5" s="8" t="s">
        <v>26</v>
      </c>
      <c r="E5" s="8" t="s">
        <v>32</v>
      </c>
      <c r="F5" s="8" t="s">
        <v>33</v>
      </c>
      <c r="G5" s="8" t="s">
        <v>34</v>
      </c>
      <c r="H5" s="15" t="s">
        <v>35</v>
      </c>
      <c r="I5" s="7" t="s">
        <v>23</v>
      </c>
      <c r="J5" s="8"/>
      <c r="K5" s="7"/>
      <c r="L5" s="8"/>
      <c r="M5" s="7"/>
      <c r="N5" s="7"/>
    </row>
    <row r="6" spans="1:14" ht="48" customHeight="1">
      <c r="A6" s="13" t="s">
        <v>36</v>
      </c>
      <c r="B6" s="14" t="s">
        <v>16</v>
      </c>
      <c r="C6" s="14" t="s">
        <v>37</v>
      </c>
      <c r="D6" s="14" t="s">
        <v>26</v>
      </c>
      <c r="E6" s="14" t="s">
        <v>38</v>
      </c>
      <c r="F6" s="14" t="s">
        <v>39</v>
      </c>
      <c r="G6" s="14" t="s">
        <v>40</v>
      </c>
      <c r="H6" s="15" t="s">
        <v>35</v>
      </c>
      <c r="I6" s="13" t="s">
        <v>23</v>
      </c>
      <c r="J6" s="14"/>
      <c r="K6" s="13"/>
      <c r="L6" s="14"/>
      <c r="M6" s="13"/>
      <c r="N6" s="13"/>
    </row>
    <row r="7" spans="1:14" ht="48" customHeight="1">
      <c r="A7" s="7" t="s">
        <v>41</v>
      </c>
      <c r="B7" s="8" t="s">
        <v>16</v>
      </c>
      <c r="C7" s="8" t="s">
        <v>42</v>
      </c>
      <c r="D7" s="8" t="s">
        <v>26</v>
      </c>
      <c r="E7" s="8" t="s">
        <v>43</v>
      </c>
      <c r="F7" s="8" t="s">
        <v>44</v>
      </c>
      <c r="G7" s="8" t="s">
        <v>45</v>
      </c>
      <c r="H7" s="12" t="s">
        <v>22</v>
      </c>
      <c r="I7" s="7" t="s">
        <v>23</v>
      </c>
      <c r="J7" s="8"/>
      <c r="K7" s="7"/>
      <c r="L7" s="8"/>
      <c r="M7" s="7"/>
      <c r="N7" s="7"/>
    </row>
    <row r="8" spans="1:14" ht="48" customHeight="1">
      <c r="A8" s="13" t="s">
        <v>46</v>
      </c>
      <c r="B8" s="14" t="s">
        <v>47</v>
      </c>
      <c r="C8" s="14" t="s">
        <v>48</v>
      </c>
      <c r="D8" s="14" t="s">
        <v>49</v>
      </c>
      <c r="E8" s="14" t="s">
        <v>50</v>
      </c>
      <c r="F8" s="14" t="s">
        <v>51</v>
      </c>
      <c r="G8" s="14" t="s">
        <v>52</v>
      </c>
      <c r="H8" s="16" t="s">
        <v>53</v>
      </c>
      <c r="I8" s="13" t="s">
        <v>54</v>
      </c>
      <c r="J8" s="14"/>
      <c r="K8" s="13"/>
      <c r="L8" s="14"/>
      <c r="M8" s="13"/>
      <c r="N8" s="13"/>
    </row>
    <row r="9" spans="1:14" ht="48" customHeight="1">
      <c r="A9" s="7" t="s">
        <v>55</v>
      </c>
      <c r="B9" s="8" t="s">
        <v>47</v>
      </c>
      <c r="C9" s="8" t="s">
        <v>56</v>
      </c>
      <c r="D9" s="8" t="s">
        <v>49</v>
      </c>
      <c r="E9" s="8" t="s">
        <v>57</v>
      </c>
      <c r="F9" s="8" t="s">
        <v>58</v>
      </c>
      <c r="G9" s="8" t="s">
        <v>59</v>
      </c>
      <c r="H9" s="16" t="s">
        <v>53</v>
      </c>
      <c r="I9" s="7" t="s">
        <v>54</v>
      </c>
      <c r="J9" s="8"/>
      <c r="K9" s="7"/>
      <c r="L9" s="8"/>
      <c r="M9" s="7"/>
      <c r="N9" s="7"/>
    </row>
    <row r="10" spans="1:14" ht="48" customHeight="1">
      <c r="A10" s="13" t="s">
        <v>60</v>
      </c>
      <c r="B10" s="14" t="s">
        <v>47</v>
      </c>
      <c r="C10" s="14" t="s">
        <v>61</v>
      </c>
      <c r="D10" s="14" t="s">
        <v>49</v>
      </c>
      <c r="E10" s="14" t="s">
        <v>62</v>
      </c>
      <c r="F10" s="14" t="s">
        <v>63</v>
      </c>
      <c r="G10" s="14" t="s">
        <v>64</v>
      </c>
      <c r="H10" s="16" t="s">
        <v>53</v>
      </c>
      <c r="I10" s="13" t="s">
        <v>54</v>
      </c>
      <c r="J10" s="14"/>
      <c r="K10" s="13"/>
      <c r="L10" s="14"/>
      <c r="M10" s="13"/>
      <c r="N10" s="13"/>
    </row>
    <row r="11" spans="1:14" ht="48" customHeight="1">
      <c r="A11" s="7" t="s">
        <v>65</v>
      </c>
      <c r="B11" s="8" t="s">
        <v>66</v>
      </c>
      <c r="C11" s="8" t="s">
        <v>67</v>
      </c>
      <c r="D11" s="8" t="s">
        <v>68</v>
      </c>
      <c r="E11" s="8" t="s">
        <v>69</v>
      </c>
      <c r="F11" s="8" t="s">
        <v>70</v>
      </c>
      <c r="G11" s="8" t="s">
        <v>71</v>
      </c>
      <c r="H11" s="15" t="s">
        <v>35</v>
      </c>
      <c r="I11" s="7" t="s">
        <v>23</v>
      </c>
      <c r="J11" s="8"/>
      <c r="K11" s="7"/>
      <c r="L11" s="8"/>
      <c r="M11" s="7"/>
      <c r="N11" s="7"/>
    </row>
    <row r="12" spans="1:14" ht="48" customHeight="1">
      <c r="A12" s="13" t="s">
        <v>72</v>
      </c>
      <c r="B12" s="14" t="s">
        <v>66</v>
      </c>
      <c r="C12" s="14" t="s">
        <v>73</v>
      </c>
      <c r="D12" s="14" t="s">
        <v>74</v>
      </c>
      <c r="E12" s="14" t="s">
        <v>75</v>
      </c>
      <c r="F12" s="14" t="s">
        <v>76</v>
      </c>
      <c r="G12" s="14" t="s">
        <v>77</v>
      </c>
      <c r="H12" s="15" t="s">
        <v>35</v>
      </c>
      <c r="I12" s="13" t="s">
        <v>23</v>
      </c>
      <c r="J12" s="14"/>
      <c r="K12" s="13"/>
      <c r="L12" s="14"/>
      <c r="M12" s="13"/>
      <c r="N12" s="13"/>
    </row>
    <row r="13" spans="1:14" ht="48" customHeight="1">
      <c r="A13" s="7" t="s">
        <v>78</v>
      </c>
      <c r="B13" s="8" t="s">
        <v>79</v>
      </c>
      <c r="C13" s="8" t="s">
        <v>80</v>
      </c>
      <c r="D13" s="8" t="s">
        <v>81</v>
      </c>
      <c r="E13" s="8" t="s">
        <v>82</v>
      </c>
      <c r="F13" s="8" t="s">
        <v>83</v>
      </c>
      <c r="G13" s="8" t="s">
        <v>84</v>
      </c>
      <c r="H13" s="12" t="s">
        <v>22</v>
      </c>
      <c r="I13" s="7" t="s">
        <v>23</v>
      </c>
      <c r="J13" s="8"/>
      <c r="K13" s="7"/>
      <c r="L13" s="8"/>
      <c r="M13" s="7"/>
      <c r="N13" s="7"/>
    </row>
    <row r="14" spans="1:14" ht="48" customHeight="1">
      <c r="A14" s="13" t="s">
        <v>85</v>
      </c>
      <c r="B14" s="14" t="s">
        <v>79</v>
      </c>
      <c r="C14" s="14" t="s">
        <v>86</v>
      </c>
      <c r="D14" s="14" t="s">
        <v>49</v>
      </c>
      <c r="E14" s="14" t="s">
        <v>87</v>
      </c>
      <c r="F14" s="14" t="s">
        <v>88</v>
      </c>
      <c r="G14" s="14" t="s">
        <v>89</v>
      </c>
      <c r="H14" s="12" t="s">
        <v>22</v>
      </c>
      <c r="I14" s="13" t="s">
        <v>23</v>
      </c>
      <c r="J14" s="14"/>
      <c r="K14" s="13"/>
      <c r="L14" s="14"/>
      <c r="M14" s="13"/>
      <c r="N14" s="13"/>
    </row>
    <row r="15" spans="1:14" ht="48" customHeight="1">
      <c r="A15" s="7" t="s">
        <v>90</v>
      </c>
      <c r="B15" s="8" t="s">
        <v>91</v>
      </c>
      <c r="C15" s="8" t="s">
        <v>92</v>
      </c>
      <c r="D15" s="8" t="s">
        <v>93</v>
      </c>
      <c r="E15" s="8" t="s">
        <v>94</v>
      </c>
      <c r="F15" s="8" t="s">
        <v>95</v>
      </c>
      <c r="G15" s="8" t="s">
        <v>96</v>
      </c>
      <c r="H15" s="17" t="s">
        <v>97</v>
      </c>
      <c r="I15" s="7" t="s">
        <v>98</v>
      </c>
      <c r="J15" s="8"/>
      <c r="K15" s="7"/>
      <c r="L15" s="8"/>
      <c r="M15" s="7"/>
      <c r="N15" s="7"/>
    </row>
    <row r="16" spans="1:14" ht="48" customHeight="1">
      <c r="A16" s="13" t="s">
        <v>99</v>
      </c>
      <c r="B16" s="14" t="s">
        <v>100</v>
      </c>
      <c r="C16" s="14" t="s">
        <v>101</v>
      </c>
      <c r="D16" s="14" t="s">
        <v>102</v>
      </c>
      <c r="E16" s="14" t="s">
        <v>103</v>
      </c>
      <c r="F16" s="14" t="s">
        <v>104</v>
      </c>
      <c r="G16" s="14" t="s">
        <v>105</v>
      </c>
      <c r="H16" s="15" t="s">
        <v>35</v>
      </c>
      <c r="I16" s="13" t="s">
        <v>23</v>
      </c>
      <c r="J16" s="14"/>
      <c r="K16" s="13"/>
      <c r="L16" s="14"/>
      <c r="M16" s="13"/>
      <c r="N16" s="13"/>
    </row>
    <row r="17" spans="1:14" ht="48" customHeight="1">
      <c r="A17" s="7" t="s">
        <v>106</v>
      </c>
      <c r="B17" s="8" t="s">
        <v>107</v>
      </c>
      <c r="C17" s="8" t="s">
        <v>108</v>
      </c>
      <c r="D17" s="8" t="s">
        <v>109</v>
      </c>
      <c r="E17" s="8" t="s">
        <v>110</v>
      </c>
      <c r="F17" s="8" t="s">
        <v>111</v>
      </c>
      <c r="G17" s="8" t="s">
        <v>112</v>
      </c>
      <c r="H17" s="12" t="s">
        <v>22</v>
      </c>
      <c r="I17" s="7" t="s">
        <v>23</v>
      </c>
      <c r="J17" s="8"/>
      <c r="K17" s="7"/>
      <c r="L17" s="8"/>
      <c r="M17" s="7"/>
      <c r="N17" s="7"/>
    </row>
    <row r="18" spans="1:14" ht="48" customHeight="1">
      <c r="A18" s="13" t="s">
        <v>113</v>
      </c>
      <c r="B18" s="14" t="s">
        <v>114</v>
      </c>
      <c r="C18" s="14" t="s">
        <v>115</v>
      </c>
      <c r="D18" s="14" t="s">
        <v>116</v>
      </c>
      <c r="E18" s="14" t="s">
        <v>117</v>
      </c>
      <c r="F18" s="14" t="s">
        <v>118</v>
      </c>
      <c r="G18" s="14" t="s">
        <v>119</v>
      </c>
      <c r="H18" s="15" t="s">
        <v>35</v>
      </c>
      <c r="I18" s="13" t="s">
        <v>23</v>
      </c>
      <c r="J18" s="14"/>
      <c r="K18" s="13"/>
      <c r="L18" s="14"/>
      <c r="M18" s="13"/>
      <c r="N18" s="13"/>
    </row>
    <row r="19" spans="1:14" ht="48" customHeight="1">
      <c r="A19" s="7" t="s">
        <v>120</v>
      </c>
      <c r="B19" s="8" t="s">
        <v>114</v>
      </c>
      <c r="C19" s="8" t="s">
        <v>121</v>
      </c>
      <c r="D19" s="8" t="s">
        <v>122</v>
      </c>
      <c r="E19" s="8" t="s">
        <v>123</v>
      </c>
      <c r="F19" s="8" t="s">
        <v>124</v>
      </c>
      <c r="G19" s="8" t="s">
        <v>125</v>
      </c>
      <c r="H19" s="15" t="s">
        <v>35</v>
      </c>
      <c r="I19" s="7" t="s">
        <v>23</v>
      </c>
      <c r="J19" s="8"/>
      <c r="K19" s="7"/>
      <c r="L19" s="8"/>
      <c r="M19" s="7"/>
      <c r="N19" s="7"/>
    </row>
    <row r="20" spans="1:14" ht="48" customHeight="1">
      <c r="A20" s="13" t="s">
        <v>126</v>
      </c>
      <c r="B20" s="14" t="s">
        <v>114</v>
      </c>
      <c r="C20" s="14" t="s">
        <v>127</v>
      </c>
      <c r="D20" s="14" t="s">
        <v>128</v>
      </c>
      <c r="E20" s="14" t="s">
        <v>129</v>
      </c>
      <c r="F20" s="14" t="s">
        <v>130</v>
      </c>
      <c r="G20" s="14" t="s">
        <v>131</v>
      </c>
      <c r="H20" s="15" t="s">
        <v>35</v>
      </c>
      <c r="I20" s="13" t="s">
        <v>23</v>
      </c>
      <c r="J20" s="14"/>
      <c r="K20" s="13"/>
      <c r="L20" s="14"/>
      <c r="M20" s="13"/>
      <c r="N20" s="13"/>
    </row>
    <row r="21" spans="1:14" ht="48" customHeight="1">
      <c r="A21" s="7" t="s">
        <v>132</v>
      </c>
      <c r="B21" s="8" t="s">
        <v>91</v>
      </c>
      <c r="C21" s="8" t="s">
        <v>133</v>
      </c>
      <c r="D21" s="8" t="s">
        <v>49</v>
      </c>
      <c r="E21" s="8" t="s">
        <v>134</v>
      </c>
      <c r="F21" s="8" t="s">
        <v>111</v>
      </c>
      <c r="G21" s="8" t="s">
        <v>135</v>
      </c>
      <c r="H21" s="17" t="s">
        <v>97</v>
      </c>
      <c r="I21" s="7" t="s">
        <v>98</v>
      </c>
      <c r="J21" s="8"/>
      <c r="K21" s="7"/>
      <c r="L21" s="8"/>
      <c r="M21" s="7"/>
      <c r="N21" s="7"/>
    </row>
    <row r="22" spans="1:14" ht="48" customHeight="1">
      <c r="A22" s="13" t="s">
        <v>136</v>
      </c>
      <c r="B22" s="14" t="s">
        <v>137</v>
      </c>
      <c r="C22" s="14" t="s">
        <v>138</v>
      </c>
      <c r="D22" s="14" t="s">
        <v>49</v>
      </c>
      <c r="E22" s="14" t="s">
        <v>139</v>
      </c>
      <c r="F22" s="14" t="s">
        <v>140</v>
      </c>
      <c r="G22" s="14" t="s">
        <v>141</v>
      </c>
      <c r="H22" s="16" t="s">
        <v>53</v>
      </c>
      <c r="I22" s="13" t="s">
        <v>54</v>
      </c>
      <c r="J22" s="14"/>
      <c r="K22" s="13"/>
      <c r="L22" s="14"/>
      <c r="M22" s="13"/>
      <c r="N22" s="13"/>
    </row>
    <row r="23" spans="1:14" ht="48" customHeight="1">
      <c r="A23" s="7" t="s">
        <v>142</v>
      </c>
      <c r="B23" s="8" t="s">
        <v>143</v>
      </c>
      <c r="C23" s="8" t="s">
        <v>144</v>
      </c>
      <c r="D23" s="8" t="s">
        <v>145</v>
      </c>
      <c r="E23" s="8" t="s">
        <v>146</v>
      </c>
      <c r="F23" s="8" t="s">
        <v>147</v>
      </c>
      <c r="G23" s="8" t="s">
        <v>148</v>
      </c>
      <c r="H23" s="16" t="s">
        <v>53</v>
      </c>
      <c r="I23" s="7" t="s">
        <v>54</v>
      </c>
      <c r="J23" s="8"/>
      <c r="K23" s="7"/>
      <c r="L23" s="8"/>
      <c r="M23" s="7"/>
      <c r="N23" s="7"/>
    </row>
    <row r="24" spans="1:14" ht="48" customHeight="1">
      <c r="A24" s="13" t="s">
        <v>149</v>
      </c>
      <c r="B24" s="14" t="s">
        <v>150</v>
      </c>
      <c r="C24" s="14" t="s">
        <v>151</v>
      </c>
      <c r="D24" s="14" t="s">
        <v>152</v>
      </c>
      <c r="E24" s="14" t="s">
        <v>153</v>
      </c>
      <c r="F24" s="14" t="s">
        <v>154</v>
      </c>
      <c r="G24" s="14" t="s">
        <v>155</v>
      </c>
      <c r="H24" s="16" t="s">
        <v>53</v>
      </c>
      <c r="I24" s="13" t="s">
        <v>54</v>
      </c>
      <c r="J24" s="14"/>
      <c r="K24" s="13"/>
      <c r="L24" s="14"/>
      <c r="M24" s="13"/>
      <c r="N24" s="13"/>
    </row>
    <row r="25" spans="1:14" ht="48" customHeight="1">
      <c r="A25" s="7" t="s">
        <v>156</v>
      </c>
      <c r="B25" s="8" t="s">
        <v>150</v>
      </c>
      <c r="C25" s="8" t="s">
        <v>157</v>
      </c>
      <c r="D25" s="8" t="s">
        <v>158</v>
      </c>
      <c r="E25" s="8" t="s">
        <v>159</v>
      </c>
      <c r="F25" s="8" t="s">
        <v>160</v>
      </c>
      <c r="G25" s="8" t="s">
        <v>161</v>
      </c>
      <c r="H25" s="16" t="s">
        <v>53</v>
      </c>
      <c r="I25" s="7" t="s">
        <v>54</v>
      </c>
      <c r="J25" s="8"/>
      <c r="K25" s="7"/>
      <c r="L25" s="8"/>
      <c r="M25" s="7"/>
      <c r="N25" s="7"/>
    </row>
    <row r="26" spans="1:14" ht="48" customHeight="1">
      <c r="A26" s="13" t="s">
        <v>162</v>
      </c>
      <c r="B26" s="14" t="s">
        <v>163</v>
      </c>
      <c r="C26" s="14" t="s">
        <v>164</v>
      </c>
      <c r="D26" s="14" t="s">
        <v>165</v>
      </c>
      <c r="E26" s="14" t="s">
        <v>166</v>
      </c>
      <c r="F26" s="14" t="s">
        <v>167</v>
      </c>
      <c r="G26" s="14" t="s">
        <v>168</v>
      </c>
      <c r="H26" s="16" t="s">
        <v>53</v>
      </c>
      <c r="I26" s="13" t="s">
        <v>54</v>
      </c>
      <c r="J26" s="14"/>
      <c r="K26" s="13"/>
      <c r="L26" s="14"/>
      <c r="M26" s="13"/>
      <c r="N26" s="13"/>
    </row>
    <row r="27" spans="1:14" ht="48" customHeight="1">
      <c r="A27" s="7" t="s">
        <v>169</v>
      </c>
      <c r="B27" s="8" t="s">
        <v>170</v>
      </c>
      <c r="C27" s="8" t="s">
        <v>171</v>
      </c>
      <c r="D27" s="8" t="s">
        <v>172</v>
      </c>
      <c r="E27" s="8" t="s">
        <v>173</v>
      </c>
      <c r="F27" s="8" t="s">
        <v>174</v>
      </c>
      <c r="G27" s="8" t="s">
        <v>175</v>
      </c>
      <c r="H27" s="17" t="s">
        <v>97</v>
      </c>
      <c r="I27" s="7" t="s">
        <v>98</v>
      </c>
      <c r="J27" s="8"/>
      <c r="K27" s="7"/>
      <c r="L27" s="8"/>
      <c r="M27" s="7"/>
      <c r="N27" s="7"/>
    </row>
    <row r="28" spans="1:14" ht="48" customHeight="1">
      <c r="A28" s="13" t="s">
        <v>176</v>
      </c>
      <c r="B28" s="14" t="s">
        <v>177</v>
      </c>
      <c r="C28" s="14" t="s">
        <v>178</v>
      </c>
      <c r="D28" s="14" t="s">
        <v>179</v>
      </c>
      <c r="E28" s="14" t="s">
        <v>180</v>
      </c>
      <c r="F28" s="14" t="s">
        <v>181</v>
      </c>
      <c r="G28" s="14" t="s">
        <v>182</v>
      </c>
      <c r="H28" s="16" t="s">
        <v>53</v>
      </c>
      <c r="I28" s="13" t="s">
        <v>54</v>
      </c>
      <c r="J28" s="14"/>
      <c r="K28" s="13"/>
      <c r="L28" s="14"/>
      <c r="M28" s="13"/>
      <c r="N28" s="13"/>
    </row>
    <row r="29" spans="1:14" ht="48" customHeight="1">
      <c r="A29" s="7" t="s">
        <v>183</v>
      </c>
      <c r="B29" s="8" t="s">
        <v>184</v>
      </c>
      <c r="C29" s="8" t="s">
        <v>185</v>
      </c>
      <c r="D29" s="8" t="s">
        <v>179</v>
      </c>
      <c r="E29" s="8" t="s">
        <v>186</v>
      </c>
      <c r="F29" s="8" t="s">
        <v>187</v>
      </c>
      <c r="G29" s="8" t="s">
        <v>188</v>
      </c>
      <c r="H29" s="15" t="s">
        <v>35</v>
      </c>
      <c r="I29" s="7" t="s">
        <v>54</v>
      </c>
      <c r="J29" s="8"/>
      <c r="K29" s="7"/>
      <c r="L29" s="8"/>
      <c r="M29" s="7"/>
      <c r="N29" s="7"/>
    </row>
    <row r="30" spans="1:14" ht="48" customHeight="1">
      <c r="A30" s="13" t="s">
        <v>189</v>
      </c>
      <c r="B30" s="14" t="s">
        <v>190</v>
      </c>
      <c r="C30" s="14" t="s">
        <v>191</v>
      </c>
      <c r="D30" s="14" t="s">
        <v>192</v>
      </c>
      <c r="E30" s="14" t="s">
        <v>193</v>
      </c>
      <c r="F30" s="14" t="s">
        <v>194</v>
      </c>
      <c r="G30" s="14" t="s">
        <v>195</v>
      </c>
      <c r="H30" s="15" t="s">
        <v>35</v>
      </c>
      <c r="I30" s="13" t="s">
        <v>54</v>
      </c>
      <c r="J30" s="14"/>
      <c r="K30" s="13"/>
      <c r="L30" s="14"/>
      <c r="M30" s="13"/>
      <c r="N30" s="13"/>
    </row>
  </sheetData>
  <mergeCells count="1">
    <mergeCell ref="A1:N1"/>
  </mergeCells>
  <dataValidations count="1">
    <dataValidation type="list" allowBlank="1" showInputMessage="1" showErrorMessage="1" promptTitle="Trạng thái Test" prompt="Chọn: Pass, Fail, Blocked hoặc Untested" sqref="K3:K30">
      <formula1>"Pass,Fail,Blocked,Untested"</formula1>
    </dataValidation>
  </dataValidations>
  <hyperlinks>
    <hyperlink ref="F18" r:id="rId1"/>
    <hyperlink ref="F19"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02569B"/>
  </sheetPr>
  <dimension ref="A1:N59"/>
  <sheetViews>
    <sheetView workbookViewId="0">
      <pane xSplit="2" ySplit="2" topLeftCell="C3" activePane="bottomRight" state="frozen"/>
      <selection pane="topRight" activeCell="C1" sqref="C1"/>
      <selection pane="bottomLeft" activeCell="A3" sqref="A3"/>
      <selection pane="bottomRight"/>
    </sheetView>
  </sheetViews>
  <sheetFormatPr defaultRowHeight="15"/>
  <cols>
    <col min="1" max="1" width="14.7109375" customWidth="1"/>
    <col min="2" max="2" width="20.7109375" customWidth="1"/>
    <col min="3" max="3" width="30.7109375" customWidth="1"/>
    <col min="4" max="4" width="25.7109375" customWidth="1"/>
    <col min="5" max="5" width="34.7109375" customWidth="1"/>
    <col min="6" max="6" width="24.7109375" customWidth="1"/>
    <col min="7" max="7" width="34.7109375" customWidth="1"/>
    <col min="8" max="8" width="12.7109375" customWidth="1"/>
    <col min="9" max="9" width="10.7109375" customWidth="1"/>
    <col min="10" max="10" width="26.7109375" customWidth="1"/>
    <col min="11" max="11" width="12.7109375" customWidth="1"/>
    <col min="12" max="12" width="22.7109375" customWidth="1"/>
    <col min="13" max="13" width="14.7109375" customWidth="1"/>
    <col min="14" max="14" width="13.7109375" customWidth="1"/>
  </cols>
  <sheetData>
    <row r="1" spans="1:14" ht="32" customHeight="1">
      <c r="A1" s="1" t="s">
        <v>196</v>
      </c>
      <c r="B1" s="1"/>
      <c r="C1" s="1"/>
      <c r="D1" s="1"/>
      <c r="E1" s="1"/>
      <c r="F1" s="1"/>
      <c r="G1" s="1"/>
      <c r="H1" s="1"/>
      <c r="I1" s="1"/>
      <c r="J1" s="1"/>
      <c r="K1" s="1"/>
      <c r="L1" s="1"/>
      <c r="M1" s="1"/>
      <c r="N1" s="1"/>
    </row>
    <row r="2" spans="1:14" ht="28" customHeight="1">
      <c r="A2" s="6" t="s">
        <v>1</v>
      </c>
      <c r="B2" s="6" t="s">
        <v>2</v>
      </c>
      <c r="C2" s="6" t="s">
        <v>3</v>
      </c>
      <c r="D2" s="6" t="s">
        <v>4</v>
      </c>
      <c r="E2" s="6" t="s">
        <v>5</v>
      </c>
      <c r="F2" s="6" t="s">
        <v>6</v>
      </c>
      <c r="G2" s="6" t="s">
        <v>7</v>
      </c>
      <c r="H2" s="6" t="s">
        <v>8</v>
      </c>
      <c r="I2" s="6" t="s">
        <v>9</v>
      </c>
      <c r="J2" s="6" t="s">
        <v>10</v>
      </c>
      <c r="K2" s="6" t="s">
        <v>11</v>
      </c>
      <c r="L2" s="6" t="s">
        <v>12</v>
      </c>
      <c r="M2" s="6" t="s">
        <v>13</v>
      </c>
      <c r="N2" s="6" t="s">
        <v>14</v>
      </c>
    </row>
    <row r="3" spans="1:14" ht="48" customHeight="1">
      <c r="A3" s="7" t="s">
        <v>197</v>
      </c>
      <c r="B3" s="8" t="s">
        <v>198</v>
      </c>
      <c r="C3" s="8" t="s">
        <v>199</v>
      </c>
      <c r="D3" s="8" t="s">
        <v>200</v>
      </c>
      <c r="E3" s="8" t="s">
        <v>201</v>
      </c>
      <c r="F3" s="8" t="s">
        <v>202</v>
      </c>
      <c r="G3" s="8" t="s">
        <v>203</v>
      </c>
      <c r="H3" s="15" t="s">
        <v>35</v>
      </c>
      <c r="I3" s="7" t="s">
        <v>23</v>
      </c>
      <c r="J3" s="8"/>
      <c r="K3" s="7"/>
      <c r="L3" s="8"/>
      <c r="M3" s="7"/>
      <c r="N3" s="7"/>
    </row>
    <row r="4" spans="1:14" ht="48" customHeight="1">
      <c r="A4" s="13" t="s">
        <v>204</v>
      </c>
      <c r="B4" s="14" t="s">
        <v>198</v>
      </c>
      <c r="C4" s="14" t="s">
        <v>205</v>
      </c>
      <c r="D4" s="14" t="s">
        <v>206</v>
      </c>
      <c r="E4" s="14" t="s">
        <v>207</v>
      </c>
      <c r="F4" s="14" t="s">
        <v>208</v>
      </c>
      <c r="G4" s="14" t="s">
        <v>209</v>
      </c>
      <c r="H4" s="15" t="s">
        <v>35</v>
      </c>
      <c r="I4" s="13" t="s">
        <v>23</v>
      </c>
      <c r="J4" s="14"/>
      <c r="K4" s="13"/>
      <c r="L4" s="14"/>
      <c r="M4" s="13"/>
      <c r="N4" s="13"/>
    </row>
    <row r="5" spans="1:14" ht="48" customHeight="1">
      <c r="A5" s="7" t="s">
        <v>210</v>
      </c>
      <c r="B5" s="8" t="s">
        <v>198</v>
      </c>
      <c r="C5" s="8" t="s">
        <v>211</v>
      </c>
      <c r="D5" s="8" t="s">
        <v>206</v>
      </c>
      <c r="E5" s="8" t="s">
        <v>212</v>
      </c>
      <c r="F5" s="8" t="s">
        <v>111</v>
      </c>
      <c r="G5" s="8" t="s">
        <v>213</v>
      </c>
      <c r="H5" s="16" t="s">
        <v>53</v>
      </c>
      <c r="I5" s="7" t="s">
        <v>54</v>
      </c>
      <c r="J5" s="8"/>
      <c r="K5" s="7"/>
      <c r="L5" s="8"/>
      <c r="M5" s="7"/>
      <c r="N5" s="7"/>
    </row>
    <row r="6" spans="1:14" ht="48" customHeight="1">
      <c r="A6" s="13" t="s">
        <v>214</v>
      </c>
      <c r="B6" s="14" t="s">
        <v>198</v>
      </c>
      <c r="C6" s="14" t="s">
        <v>215</v>
      </c>
      <c r="D6" s="14" t="s">
        <v>206</v>
      </c>
      <c r="E6" s="14" t="s">
        <v>216</v>
      </c>
      <c r="F6" s="14" t="s">
        <v>111</v>
      </c>
      <c r="G6" s="14" t="s">
        <v>217</v>
      </c>
      <c r="H6" s="16" t="s">
        <v>53</v>
      </c>
      <c r="I6" s="13" t="s">
        <v>54</v>
      </c>
      <c r="J6" s="14"/>
      <c r="K6" s="13"/>
      <c r="L6" s="14"/>
      <c r="M6" s="13"/>
      <c r="N6" s="13"/>
    </row>
    <row r="7" spans="1:14" ht="48" customHeight="1">
      <c r="A7" s="7" t="s">
        <v>218</v>
      </c>
      <c r="B7" s="8" t="s">
        <v>219</v>
      </c>
      <c r="C7" s="8" t="s">
        <v>220</v>
      </c>
      <c r="D7" s="8" t="s">
        <v>221</v>
      </c>
      <c r="E7" s="8" t="s">
        <v>222</v>
      </c>
      <c r="F7" s="8" t="s">
        <v>223</v>
      </c>
      <c r="G7" s="8" t="s">
        <v>224</v>
      </c>
      <c r="H7" s="15" t="s">
        <v>35</v>
      </c>
      <c r="I7" s="7" t="s">
        <v>23</v>
      </c>
      <c r="J7" s="8"/>
      <c r="K7" s="7"/>
      <c r="L7" s="8"/>
      <c r="M7" s="7"/>
      <c r="N7" s="7"/>
    </row>
    <row r="8" spans="1:14" ht="48" customHeight="1">
      <c r="A8" s="13" t="s">
        <v>225</v>
      </c>
      <c r="B8" s="14" t="s">
        <v>219</v>
      </c>
      <c r="C8" s="14" t="s">
        <v>226</v>
      </c>
      <c r="D8" s="14" t="s">
        <v>227</v>
      </c>
      <c r="E8" s="14" t="s">
        <v>228</v>
      </c>
      <c r="F8" s="14" t="s">
        <v>229</v>
      </c>
      <c r="G8" s="14" t="s">
        <v>230</v>
      </c>
      <c r="H8" s="16" t="s">
        <v>53</v>
      </c>
      <c r="I8" s="13" t="s">
        <v>54</v>
      </c>
      <c r="J8" s="14"/>
      <c r="K8" s="13"/>
      <c r="L8" s="14"/>
      <c r="M8" s="13"/>
      <c r="N8" s="13"/>
    </row>
    <row r="9" spans="1:14" ht="48" customHeight="1">
      <c r="A9" s="7" t="s">
        <v>231</v>
      </c>
      <c r="B9" s="8" t="s">
        <v>219</v>
      </c>
      <c r="C9" s="8" t="s">
        <v>232</v>
      </c>
      <c r="D9" s="8" t="s">
        <v>233</v>
      </c>
      <c r="E9" s="8" t="s">
        <v>234</v>
      </c>
      <c r="F9" s="8" t="s">
        <v>235</v>
      </c>
      <c r="G9" s="8" t="s">
        <v>236</v>
      </c>
      <c r="H9" s="15" t="s">
        <v>35</v>
      </c>
      <c r="I9" s="7" t="s">
        <v>23</v>
      </c>
      <c r="J9" s="8"/>
      <c r="K9" s="7"/>
      <c r="L9" s="8"/>
      <c r="M9" s="7"/>
      <c r="N9" s="7"/>
    </row>
    <row r="10" spans="1:14" ht="48" customHeight="1">
      <c r="A10" s="13" t="s">
        <v>237</v>
      </c>
      <c r="B10" s="14" t="s">
        <v>219</v>
      </c>
      <c r="C10" s="14" t="s">
        <v>238</v>
      </c>
      <c r="D10" s="14" t="s">
        <v>239</v>
      </c>
      <c r="E10" s="14" t="s">
        <v>240</v>
      </c>
      <c r="F10" s="14" t="s">
        <v>241</v>
      </c>
      <c r="G10" s="14" t="s">
        <v>242</v>
      </c>
      <c r="H10" s="16" t="s">
        <v>53</v>
      </c>
      <c r="I10" s="13" t="s">
        <v>54</v>
      </c>
      <c r="J10" s="14"/>
      <c r="K10" s="13"/>
      <c r="L10" s="14"/>
      <c r="M10" s="13"/>
      <c r="N10" s="13"/>
    </row>
    <row r="11" spans="1:14" ht="48" customHeight="1">
      <c r="A11" s="7" t="s">
        <v>243</v>
      </c>
      <c r="B11" s="8" t="s">
        <v>244</v>
      </c>
      <c r="C11" s="8" t="s">
        <v>245</v>
      </c>
      <c r="D11" s="8" t="s">
        <v>246</v>
      </c>
      <c r="E11" s="8" t="s">
        <v>247</v>
      </c>
      <c r="F11" s="8" t="s">
        <v>248</v>
      </c>
      <c r="G11" s="8" t="s">
        <v>249</v>
      </c>
      <c r="H11" s="15" t="s">
        <v>35</v>
      </c>
      <c r="I11" s="7" t="s">
        <v>23</v>
      </c>
      <c r="J11" s="8"/>
      <c r="K11" s="7"/>
      <c r="L11" s="8"/>
      <c r="M11" s="7"/>
      <c r="N11" s="7"/>
    </row>
    <row r="12" spans="1:14" ht="48" customHeight="1">
      <c r="A12" s="13" t="s">
        <v>250</v>
      </c>
      <c r="B12" s="14" t="s">
        <v>244</v>
      </c>
      <c r="C12" s="14" t="s">
        <v>251</v>
      </c>
      <c r="D12" s="14" t="s">
        <v>252</v>
      </c>
      <c r="E12" s="14" t="s">
        <v>253</v>
      </c>
      <c r="F12" s="14" t="s">
        <v>254</v>
      </c>
      <c r="G12" s="14" t="s">
        <v>255</v>
      </c>
      <c r="H12" s="15" t="s">
        <v>35</v>
      </c>
      <c r="I12" s="13" t="s">
        <v>23</v>
      </c>
      <c r="J12" s="14"/>
      <c r="K12" s="13"/>
      <c r="L12" s="14"/>
      <c r="M12" s="13"/>
      <c r="N12" s="13"/>
    </row>
    <row r="13" spans="1:14" ht="48" customHeight="1">
      <c r="A13" s="7" t="s">
        <v>256</v>
      </c>
      <c r="B13" s="8" t="s">
        <v>244</v>
      </c>
      <c r="C13" s="8" t="s">
        <v>257</v>
      </c>
      <c r="D13" s="8" t="s">
        <v>258</v>
      </c>
      <c r="E13" s="8" t="s">
        <v>259</v>
      </c>
      <c r="F13" s="8" t="s">
        <v>260</v>
      </c>
      <c r="G13" s="8" t="s">
        <v>261</v>
      </c>
      <c r="H13" s="16" t="s">
        <v>53</v>
      </c>
      <c r="I13" s="7" t="s">
        <v>54</v>
      </c>
      <c r="J13" s="8"/>
      <c r="K13" s="7"/>
      <c r="L13" s="8"/>
      <c r="M13" s="7"/>
      <c r="N13" s="7"/>
    </row>
    <row r="14" spans="1:14" ht="48" customHeight="1">
      <c r="A14" s="13" t="s">
        <v>262</v>
      </c>
      <c r="B14" s="14" t="s">
        <v>244</v>
      </c>
      <c r="C14" s="14" t="s">
        <v>263</v>
      </c>
      <c r="D14" s="14" t="s">
        <v>264</v>
      </c>
      <c r="E14" s="14" t="s">
        <v>265</v>
      </c>
      <c r="F14" s="14" t="s">
        <v>266</v>
      </c>
      <c r="G14" s="14" t="s">
        <v>267</v>
      </c>
      <c r="H14" s="16" t="s">
        <v>53</v>
      </c>
      <c r="I14" s="13" t="s">
        <v>54</v>
      </c>
      <c r="J14" s="14"/>
      <c r="K14" s="13"/>
      <c r="L14" s="14"/>
      <c r="M14" s="13"/>
      <c r="N14" s="13"/>
    </row>
    <row r="15" spans="1:14" ht="48" customHeight="1">
      <c r="A15" s="7" t="s">
        <v>268</v>
      </c>
      <c r="B15" s="8" t="s">
        <v>269</v>
      </c>
      <c r="C15" s="8" t="s">
        <v>270</v>
      </c>
      <c r="D15" s="8" t="s">
        <v>271</v>
      </c>
      <c r="E15" s="8" t="s">
        <v>272</v>
      </c>
      <c r="F15" s="8" t="s">
        <v>273</v>
      </c>
      <c r="G15" s="8" t="s">
        <v>274</v>
      </c>
      <c r="H15" s="12" t="s">
        <v>22</v>
      </c>
      <c r="I15" s="7" t="s">
        <v>23</v>
      </c>
      <c r="J15" s="8"/>
      <c r="K15" s="7"/>
      <c r="L15" s="8"/>
      <c r="M15" s="7"/>
      <c r="N15" s="7"/>
    </row>
    <row r="16" spans="1:14" ht="48" customHeight="1">
      <c r="A16" s="13" t="s">
        <v>275</v>
      </c>
      <c r="B16" s="14" t="s">
        <v>269</v>
      </c>
      <c r="C16" s="14" t="s">
        <v>276</v>
      </c>
      <c r="D16" s="14" t="s">
        <v>277</v>
      </c>
      <c r="E16" s="14" t="s">
        <v>278</v>
      </c>
      <c r="F16" s="14" t="s">
        <v>279</v>
      </c>
      <c r="G16" s="14" t="s">
        <v>280</v>
      </c>
      <c r="H16" s="15" t="s">
        <v>35</v>
      </c>
      <c r="I16" s="13" t="s">
        <v>54</v>
      </c>
      <c r="J16" s="14"/>
      <c r="K16" s="13"/>
      <c r="L16" s="14"/>
      <c r="M16" s="13"/>
      <c r="N16" s="13"/>
    </row>
    <row r="17" spans="1:14" ht="48" customHeight="1">
      <c r="A17" s="7" t="s">
        <v>281</v>
      </c>
      <c r="B17" s="8" t="s">
        <v>269</v>
      </c>
      <c r="C17" s="8" t="s">
        <v>282</v>
      </c>
      <c r="D17" s="8" t="s">
        <v>283</v>
      </c>
      <c r="E17" s="8" t="s">
        <v>284</v>
      </c>
      <c r="F17" s="8" t="s">
        <v>285</v>
      </c>
      <c r="G17" s="8" t="s">
        <v>286</v>
      </c>
      <c r="H17" s="15" t="s">
        <v>35</v>
      </c>
      <c r="I17" s="7" t="s">
        <v>23</v>
      </c>
      <c r="J17" s="8"/>
      <c r="K17" s="7"/>
      <c r="L17" s="8"/>
      <c r="M17" s="7"/>
      <c r="N17" s="7"/>
    </row>
    <row r="18" spans="1:14" ht="48" customHeight="1">
      <c r="A18" s="13" t="s">
        <v>287</v>
      </c>
      <c r="B18" s="14" t="s">
        <v>288</v>
      </c>
      <c r="C18" s="14" t="s">
        <v>289</v>
      </c>
      <c r="D18" s="14" t="s">
        <v>290</v>
      </c>
      <c r="E18" s="14" t="s">
        <v>291</v>
      </c>
      <c r="F18" s="14" t="s">
        <v>292</v>
      </c>
      <c r="G18" s="14" t="s">
        <v>293</v>
      </c>
      <c r="H18" s="12" t="s">
        <v>22</v>
      </c>
      <c r="I18" s="13" t="s">
        <v>23</v>
      </c>
      <c r="J18" s="14"/>
      <c r="K18" s="13"/>
      <c r="L18" s="14"/>
      <c r="M18" s="13"/>
      <c r="N18" s="13"/>
    </row>
    <row r="19" spans="1:14" ht="48" customHeight="1">
      <c r="A19" s="7" t="s">
        <v>294</v>
      </c>
      <c r="B19" s="8" t="s">
        <v>288</v>
      </c>
      <c r="C19" s="8" t="s">
        <v>295</v>
      </c>
      <c r="D19" s="8" t="s">
        <v>296</v>
      </c>
      <c r="E19" s="8" t="s">
        <v>297</v>
      </c>
      <c r="F19" s="8" t="s">
        <v>298</v>
      </c>
      <c r="G19" s="8" t="s">
        <v>299</v>
      </c>
      <c r="H19" s="15" t="s">
        <v>35</v>
      </c>
      <c r="I19" s="7" t="s">
        <v>23</v>
      </c>
      <c r="J19" s="8"/>
      <c r="K19" s="7"/>
      <c r="L19" s="8"/>
      <c r="M19" s="7"/>
      <c r="N19" s="7"/>
    </row>
    <row r="20" spans="1:14" ht="48" customHeight="1">
      <c r="A20" s="13" t="s">
        <v>300</v>
      </c>
      <c r="B20" s="14" t="s">
        <v>288</v>
      </c>
      <c r="C20" s="14" t="s">
        <v>301</v>
      </c>
      <c r="D20" s="14" t="s">
        <v>302</v>
      </c>
      <c r="E20" s="14" t="s">
        <v>303</v>
      </c>
      <c r="F20" s="14" t="s">
        <v>304</v>
      </c>
      <c r="G20" s="14" t="s">
        <v>305</v>
      </c>
      <c r="H20" s="12" t="s">
        <v>22</v>
      </c>
      <c r="I20" s="13" t="s">
        <v>23</v>
      </c>
      <c r="J20" s="14"/>
      <c r="K20" s="13"/>
      <c r="L20" s="14"/>
      <c r="M20" s="13"/>
      <c r="N20" s="13"/>
    </row>
    <row r="21" spans="1:14" ht="48" customHeight="1">
      <c r="A21" s="7" t="s">
        <v>306</v>
      </c>
      <c r="B21" s="8" t="s">
        <v>288</v>
      </c>
      <c r="C21" s="8" t="s">
        <v>307</v>
      </c>
      <c r="D21" s="8" t="s">
        <v>308</v>
      </c>
      <c r="E21" s="8" t="s">
        <v>309</v>
      </c>
      <c r="F21" s="8" t="s">
        <v>310</v>
      </c>
      <c r="G21" s="8" t="s">
        <v>311</v>
      </c>
      <c r="H21" s="15" t="s">
        <v>35</v>
      </c>
      <c r="I21" s="7" t="s">
        <v>23</v>
      </c>
      <c r="J21" s="8"/>
      <c r="K21" s="7"/>
      <c r="L21" s="8"/>
      <c r="M21" s="7"/>
      <c r="N21" s="7"/>
    </row>
    <row r="22" spans="1:14" ht="48" customHeight="1">
      <c r="A22" s="13" t="s">
        <v>312</v>
      </c>
      <c r="B22" s="14" t="s">
        <v>288</v>
      </c>
      <c r="C22" s="14" t="s">
        <v>313</v>
      </c>
      <c r="D22" s="14" t="s">
        <v>314</v>
      </c>
      <c r="E22" s="14" t="s">
        <v>315</v>
      </c>
      <c r="F22" s="14" t="s">
        <v>316</v>
      </c>
      <c r="G22" s="14" t="s">
        <v>317</v>
      </c>
      <c r="H22" s="15" t="s">
        <v>35</v>
      </c>
      <c r="I22" s="13" t="s">
        <v>23</v>
      </c>
      <c r="J22" s="14"/>
      <c r="K22" s="13"/>
      <c r="L22" s="14"/>
      <c r="M22" s="13"/>
      <c r="N22" s="13"/>
    </row>
    <row r="23" spans="1:14" ht="48" customHeight="1">
      <c r="A23" s="7" t="s">
        <v>318</v>
      </c>
      <c r="B23" s="8" t="s">
        <v>319</v>
      </c>
      <c r="C23" s="8" t="s">
        <v>320</v>
      </c>
      <c r="D23" s="8" t="s">
        <v>321</v>
      </c>
      <c r="E23" s="8" t="s">
        <v>322</v>
      </c>
      <c r="F23" s="8" t="s">
        <v>323</v>
      </c>
      <c r="G23" s="8" t="s">
        <v>324</v>
      </c>
      <c r="H23" s="15" t="s">
        <v>35</v>
      </c>
      <c r="I23" s="7" t="s">
        <v>23</v>
      </c>
      <c r="J23" s="8"/>
      <c r="K23" s="7"/>
      <c r="L23" s="8"/>
      <c r="M23" s="7"/>
      <c r="N23" s="7"/>
    </row>
    <row r="24" spans="1:14" ht="48" customHeight="1">
      <c r="A24" s="13" t="s">
        <v>325</v>
      </c>
      <c r="B24" s="14" t="s">
        <v>319</v>
      </c>
      <c r="C24" s="14" t="s">
        <v>326</v>
      </c>
      <c r="D24" s="14" t="s">
        <v>327</v>
      </c>
      <c r="E24" s="14" t="s">
        <v>328</v>
      </c>
      <c r="F24" s="14" t="s">
        <v>329</v>
      </c>
      <c r="G24" s="14" t="s">
        <v>330</v>
      </c>
      <c r="H24" s="15" t="s">
        <v>35</v>
      </c>
      <c r="I24" s="13" t="s">
        <v>23</v>
      </c>
      <c r="J24" s="14"/>
      <c r="K24" s="13"/>
      <c r="L24" s="14"/>
      <c r="M24" s="13"/>
      <c r="N24" s="13"/>
    </row>
    <row r="25" spans="1:14" ht="48" customHeight="1">
      <c r="A25" s="7" t="s">
        <v>331</v>
      </c>
      <c r="B25" s="8" t="s">
        <v>332</v>
      </c>
      <c r="C25" s="8" t="s">
        <v>333</v>
      </c>
      <c r="D25" s="8" t="s">
        <v>334</v>
      </c>
      <c r="E25" s="8" t="s">
        <v>335</v>
      </c>
      <c r="F25" s="8" t="s">
        <v>336</v>
      </c>
      <c r="G25" s="8" t="s">
        <v>337</v>
      </c>
      <c r="H25" s="15" t="s">
        <v>35</v>
      </c>
      <c r="I25" s="7" t="s">
        <v>23</v>
      </c>
      <c r="J25" s="8"/>
      <c r="K25" s="7"/>
      <c r="L25" s="8"/>
      <c r="M25" s="7"/>
      <c r="N25" s="7"/>
    </row>
    <row r="26" spans="1:14" ht="48" customHeight="1">
      <c r="A26" s="13" t="s">
        <v>338</v>
      </c>
      <c r="B26" s="14" t="s">
        <v>332</v>
      </c>
      <c r="C26" s="14" t="s">
        <v>339</v>
      </c>
      <c r="D26" s="14" t="s">
        <v>340</v>
      </c>
      <c r="E26" s="14" t="s">
        <v>341</v>
      </c>
      <c r="F26" s="14" t="s">
        <v>266</v>
      </c>
      <c r="G26" s="14" t="s">
        <v>342</v>
      </c>
      <c r="H26" s="16" t="s">
        <v>53</v>
      </c>
      <c r="I26" s="13" t="s">
        <v>54</v>
      </c>
      <c r="J26" s="14"/>
      <c r="K26" s="13"/>
      <c r="L26" s="14"/>
      <c r="M26" s="13"/>
      <c r="N26" s="13"/>
    </row>
    <row r="27" spans="1:14" ht="48" customHeight="1">
      <c r="A27" s="7" t="s">
        <v>343</v>
      </c>
      <c r="B27" s="8" t="s">
        <v>344</v>
      </c>
      <c r="C27" s="8" t="s">
        <v>345</v>
      </c>
      <c r="D27" s="8" t="s">
        <v>346</v>
      </c>
      <c r="E27" s="8" t="s">
        <v>347</v>
      </c>
      <c r="F27" s="8" t="s">
        <v>348</v>
      </c>
      <c r="G27" s="8" t="s">
        <v>349</v>
      </c>
      <c r="H27" s="15" t="s">
        <v>35</v>
      </c>
      <c r="I27" s="7" t="s">
        <v>23</v>
      </c>
      <c r="J27" s="8"/>
      <c r="K27" s="7"/>
      <c r="L27" s="8"/>
      <c r="M27" s="7"/>
      <c r="N27" s="7"/>
    </row>
    <row r="28" spans="1:14" ht="48" customHeight="1">
      <c r="A28" s="13" t="s">
        <v>350</v>
      </c>
      <c r="B28" s="14" t="s">
        <v>344</v>
      </c>
      <c r="C28" s="14" t="s">
        <v>351</v>
      </c>
      <c r="D28" s="14" t="s">
        <v>352</v>
      </c>
      <c r="E28" s="14" t="s">
        <v>353</v>
      </c>
      <c r="F28" s="14" t="s">
        <v>354</v>
      </c>
      <c r="G28" s="14" t="s">
        <v>355</v>
      </c>
      <c r="H28" s="15" t="s">
        <v>35</v>
      </c>
      <c r="I28" s="13" t="s">
        <v>23</v>
      </c>
      <c r="J28" s="14"/>
      <c r="K28" s="13"/>
      <c r="L28" s="14"/>
      <c r="M28" s="13"/>
      <c r="N28" s="13"/>
    </row>
    <row r="29" spans="1:14" ht="48" customHeight="1">
      <c r="A29" s="7" t="s">
        <v>356</v>
      </c>
      <c r="B29" s="8" t="s">
        <v>344</v>
      </c>
      <c r="C29" s="8" t="s">
        <v>357</v>
      </c>
      <c r="D29" s="8" t="s">
        <v>358</v>
      </c>
      <c r="E29" s="8" t="s">
        <v>359</v>
      </c>
      <c r="F29" s="8" t="s">
        <v>360</v>
      </c>
      <c r="G29" s="8" t="s">
        <v>361</v>
      </c>
      <c r="H29" s="16" t="s">
        <v>53</v>
      </c>
      <c r="I29" s="7" t="s">
        <v>54</v>
      </c>
      <c r="J29" s="8"/>
      <c r="K29" s="7"/>
      <c r="L29" s="8"/>
      <c r="M29" s="7"/>
      <c r="N29" s="7"/>
    </row>
    <row r="30" spans="1:14" ht="48" customHeight="1">
      <c r="A30" s="13" t="s">
        <v>362</v>
      </c>
      <c r="B30" s="14" t="s">
        <v>344</v>
      </c>
      <c r="C30" s="14" t="s">
        <v>363</v>
      </c>
      <c r="D30" s="14" t="s">
        <v>364</v>
      </c>
      <c r="E30" s="14" t="s">
        <v>365</v>
      </c>
      <c r="F30" s="14" t="s">
        <v>366</v>
      </c>
      <c r="G30" s="14" t="s">
        <v>367</v>
      </c>
      <c r="H30" s="15" t="s">
        <v>35</v>
      </c>
      <c r="I30" s="13" t="s">
        <v>23</v>
      </c>
      <c r="J30" s="14"/>
      <c r="K30" s="13"/>
      <c r="L30" s="14"/>
      <c r="M30" s="13"/>
      <c r="N30" s="13"/>
    </row>
    <row r="31" spans="1:14" ht="48" customHeight="1">
      <c r="A31" s="7" t="s">
        <v>368</v>
      </c>
      <c r="B31" s="8" t="s">
        <v>369</v>
      </c>
      <c r="C31" s="8" t="s">
        <v>370</v>
      </c>
      <c r="D31" s="8" t="s">
        <v>371</v>
      </c>
      <c r="E31" s="8" t="s">
        <v>372</v>
      </c>
      <c r="F31" s="8" t="s">
        <v>373</v>
      </c>
      <c r="G31" s="8" t="s">
        <v>374</v>
      </c>
      <c r="H31" s="15" t="s">
        <v>35</v>
      </c>
      <c r="I31" s="7" t="s">
        <v>23</v>
      </c>
      <c r="J31" s="8"/>
      <c r="K31" s="7"/>
      <c r="L31" s="8"/>
      <c r="M31" s="7"/>
      <c r="N31" s="7"/>
    </row>
    <row r="32" spans="1:14" ht="48" customHeight="1">
      <c r="A32" s="13" t="s">
        <v>375</v>
      </c>
      <c r="B32" s="14" t="s">
        <v>369</v>
      </c>
      <c r="C32" s="14" t="s">
        <v>376</v>
      </c>
      <c r="D32" s="14" t="s">
        <v>377</v>
      </c>
      <c r="E32" s="14" t="s">
        <v>378</v>
      </c>
      <c r="F32" s="14" t="s">
        <v>379</v>
      </c>
      <c r="G32" s="14" t="s">
        <v>380</v>
      </c>
      <c r="H32" s="16" t="s">
        <v>53</v>
      </c>
      <c r="I32" s="13" t="s">
        <v>54</v>
      </c>
      <c r="J32" s="14"/>
      <c r="K32" s="13"/>
      <c r="L32" s="14"/>
      <c r="M32" s="13"/>
      <c r="N32" s="13"/>
    </row>
    <row r="33" spans="1:14" ht="48" customHeight="1">
      <c r="A33" s="7" t="s">
        <v>381</v>
      </c>
      <c r="B33" s="8" t="s">
        <v>369</v>
      </c>
      <c r="C33" s="8" t="s">
        <v>382</v>
      </c>
      <c r="D33" s="8" t="s">
        <v>377</v>
      </c>
      <c r="E33" s="8" t="s">
        <v>383</v>
      </c>
      <c r="F33" s="8" t="s">
        <v>384</v>
      </c>
      <c r="G33" s="8" t="s">
        <v>385</v>
      </c>
      <c r="H33" s="15" t="s">
        <v>35</v>
      </c>
      <c r="I33" s="7" t="s">
        <v>54</v>
      </c>
      <c r="J33" s="8"/>
      <c r="K33" s="7"/>
      <c r="L33" s="8"/>
      <c r="M33" s="7"/>
      <c r="N33" s="7"/>
    </row>
    <row r="34" spans="1:14" ht="48" customHeight="1">
      <c r="A34" s="13" t="s">
        <v>386</v>
      </c>
      <c r="B34" s="14" t="s">
        <v>369</v>
      </c>
      <c r="C34" s="14" t="s">
        <v>387</v>
      </c>
      <c r="D34" s="14" t="s">
        <v>388</v>
      </c>
      <c r="E34" s="14" t="s">
        <v>389</v>
      </c>
      <c r="F34" s="14" t="s">
        <v>390</v>
      </c>
      <c r="G34" s="14" t="s">
        <v>391</v>
      </c>
      <c r="H34" s="15" t="s">
        <v>35</v>
      </c>
      <c r="I34" s="13" t="s">
        <v>23</v>
      </c>
      <c r="J34" s="14"/>
      <c r="K34" s="13"/>
      <c r="L34" s="14"/>
      <c r="M34" s="13"/>
      <c r="N34" s="13"/>
    </row>
    <row r="35" spans="1:14" ht="48" customHeight="1">
      <c r="A35" s="7" t="s">
        <v>392</v>
      </c>
      <c r="B35" s="8" t="s">
        <v>393</v>
      </c>
      <c r="C35" s="8" t="s">
        <v>394</v>
      </c>
      <c r="D35" s="8" t="s">
        <v>395</v>
      </c>
      <c r="E35" s="8" t="s">
        <v>396</v>
      </c>
      <c r="F35" s="8" t="s">
        <v>397</v>
      </c>
      <c r="G35" s="8" t="s">
        <v>398</v>
      </c>
      <c r="H35" s="15" t="s">
        <v>35</v>
      </c>
      <c r="I35" s="7" t="s">
        <v>23</v>
      </c>
      <c r="J35" s="8"/>
      <c r="K35" s="7"/>
      <c r="L35" s="8"/>
      <c r="M35" s="7"/>
      <c r="N35" s="7"/>
    </row>
    <row r="36" spans="1:14" ht="48" customHeight="1">
      <c r="A36" s="13" t="s">
        <v>399</v>
      </c>
      <c r="B36" s="14" t="s">
        <v>393</v>
      </c>
      <c r="C36" s="14" t="s">
        <v>400</v>
      </c>
      <c r="D36" s="14" t="s">
        <v>401</v>
      </c>
      <c r="E36" s="14" t="s">
        <v>402</v>
      </c>
      <c r="F36" s="14" t="s">
        <v>403</v>
      </c>
      <c r="G36" s="14" t="s">
        <v>404</v>
      </c>
      <c r="H36" s="16" t="s">
        <v>53</v>
      </c>
      <c r="I36" s="13" t="s">
        <v>54</v>
      </c>
      <c r="J36" s="14"/>
      <c r="K36" s="13"/>
      <c r="L36" s="14"/>
      <c r="M36" s="13"/>
      <c r="N36" s="13"/>
    </row>
    <row r="37" spans="1:14" ht="48" customHeight="1">
      <c r="A37" s="7" t="s">
        <v>405</v>
      </c>
      <c r="B37" s="8" t="s">
        <v>393</v>
      </c>
      <c r="C37" s="8" t="s">
        <v>406</v>
      </c>
      <c r="D37" s="8" t="s">
        <v>407</v>
      </c>
      <c r="E37" s="8" t="s">
        <v>408</v>
      </c>
      <c r="F37" s="8" t="s">
        <v>409</v>
      </c>
      <c r="G37" s="8" t="s">
        <v>410</v>
      </c>
      <c r="H37" s="16" t="s">
        <v>53</v>
      </c>
      <c r="I37" s="7" t="s">
        <v>54</v>
      </c>
      <c r="J37" s="8"/>
      <c r="K37" s="7"/>
      <c r="L37" s="8"/>
      <c r="M37" s="7"/>
      <c r="N37" s="7"/>
    </row>
    <row r="38" spans="1:14" ht="48" customHeight="1">
      <c r="A38" s="13" t="s">
        <v>411</v>
      </c>
      <c r="B38" s="14" t="s">
        <v>412</v>
      </c>
      <c r="C38" s="14" t="s">
        <v>413</v>
      </c>
      <c r="D38" s="14" t="s">
        <v>414</v>
      </c>
      <c r="E38" s="14" t="s">
        <v>415</v>
      </c>
      <c r="F38" s="14" t="s">
        <v>416</v>
      </c>
      <c r="G38" s="14" t="s">
        <v>417</v>
      </c>
      <c r="H38" s="16" t="s">
        <v>53</v>
      </c>
      <c r="I38" s="13" t="s">
        <v>54</v>
      </c>
      <c r="J38" s="14"/>
      <c r="K38" s="13"/>
      <c r="L38" s="14"/>
      <c r="M38" s="13"/>
      <c r="N38" s="13"/>
    </row>
    <row r="39" spans="1:14" ht="48" customHeight="1">
      <c r="A39" s="7" t="s">
        <v>418</v>
      </c>
      <c r="B39" s="8" t="s">
        <v>412</v>
      </c>
      <c r="C39" s="8" t="s">
        <v>419</v>
      </c>
      <c r="D39" s="8" t="s">
        <v>420</v>
      </c>
      <c r="E39" s="8" t="s">
        <v>421</v>
      </c>
      <c r="F39" s="8" t="s">
        <v>422</v>
      </c>
      <c r="G39" s="8" t="s">
        <v>423</v>
      </c>
      <c r="H39" s="16" t="s">
        <v>53</v>
      </c>
      <c r="I39" s="7" t="s">
        <v>54</v>
      </c>
      <c r="J39" s="8"/>
      <c r="K39" s="7"/>
      <c r="L39" s="8"/>
      <c r="M39" s="7"/>
      <c r="N39" s="7"/>
    </row>
    <row r="40" spans="1:14" ht="48" customHeight="1">
      <c r="A40" s="13" t="s">
        <v>424</v>
      </c>
      <c r="B40" s="14" t="s">
        <v>425</v>
      </c>
      <c r="C40" s="14" t="s">
        <v>426</v>
      </c>
      <c r="D40" s="14" t="s">
        <v>427</v>
      </c>
      <c r="E40" s="14" t="s">
        <v>428</v>
      </c>
      <c r="F40" s="14" t="s">
        <v>429</v>
      </c>
      <c r="G40" s="14" t="s">
        <v>430</v>
      </c>
      <c r="H40" s="15" t="s">
        <v>35</v>
      </c>
      <c r="I40" s="13" t="s">
        <v>23</v>
      </c>
      <c r="J40" s="14"/>
      <c r="K40" s="13"/>
      <c r="L40" s="14"/>
      <c r="M40" s="13"/>
      <c r="N40" s="13"/>
    </row>
    <row r="41" spans="1:14" ht="48" customHeight="1">
      <c r="A41" s="7" t="s">
        <v>431</v>
      </c>
      <c r="B41" s="8" t="s">
        <v>184</v>
      </c>
      <c r="C41" s="8" t="s">
        <v>432</v>
      </c>
      <c r="D41" s="8" t="s">
        <v>433</v>
      </c>
      <c r="E41" s="8" t="s">
        <v>434</v>
      </c>
      <c r="F41" s="8" t="s">
        <v>435</v>
      </c>
      <c r="G41" s="8" t="s">
        <v>436</v>
      </c>
      <c r="H41" s="15" t="s">
        <v>35</v>
      </c>
      <c r="I41" s="7" t="s">
        <v>54</v>
      </c>
      <c r="J41" s="8"/>
      <c r="K41" s="7"/>
      <c r="L41" s="8"/>
      <c r="M41" s="7"/>
      <c r="N41" s="7"/>
    </row>
    <row r="42" spans="1:14" ht="48" customHeight="1">
      <c r="A42" s="13" t="s">
        <v>437</v>
      </c>
      <c r="B42" s="14" t="s">
        <v>425</v>
      </c>
      <c r="C42" s="14" t="s">
        <v>438</v>
      </c>
      <c r="D42" s="14" t="s">
        <v>439</v>
      </c>
      <c r="E42" s="14" t="s">
        <v>440</v>
      </c>
      <c r="F42" s="14" t="s">
        <v>441</v>
      </c>
      <c r="G42" s="14" t="s">
        <v>442</v>
      </c>
      <c r="H42" s="16" t="s">
        <v>53</v>
      </c>
      <c r="I42" s="13" t="s">
        <v>54</v>
      </c>
      <c r="J42" s="14"/>
      <c r="K42" s="13"/>
      <c r="L42" s="14"/>
      <c r="M42" s="13"/>
      <c r="N42" s="13"/>
    </row>
    <row r="43" spans="1:14" ht="48" customHeight="1">
      <c r="A43" s="7" t="s">
        <v>443</v>
      </c>
      <c r="B43" s="8" t="s">
        <v>425</v>
      </c>
      <c r="C43" s="8" t="s">
        <v>444</v>
      </c>
      <c r="D43" s="8" t="s">
        <v>445</v>
      </c>
      <c r="E43" s="8" t="s">
        <v>446</v>
      </c>
      <c r="F43" s="8" t="s">
        <v>447</v>
      </c>
      <c r="G43" s="8" t="s">
        <v>448</v>
      </c>
      <c r="H43" s="16" t="s">
        <v>53</v>
      </c>
      <c r="I43" s="7" t="s">
        <v>54</v>
      </c>
      <c r="J43" s="8"/>
      <c r="K43" s="7"/>
      <c r="L43" s="8"/>
      <c r="M43" s="7"/>
      <c r="N43" s="7"/>
    </row>
    <row r="44" spans="1:14" ht="48" customHeight="1">
      <c r="A44" s="13" t="s">
        <v>449</v>
      </c>
      <c r="B44" s="14" t="s">
        <v>450</v>
      </c>
      <c r="C44" s="14" t="s">
        <v>451</v>
      </c>
      <c r="D44" s="14" t="s">
        <v>452</v>
      </c>
      <c r="E44" s="14" t="s">
        <v>453</v>
      </c>
      <c r="F44" s="14" t="s">
        <v>454</v>
      </c>
      <c r="G44" s="14" t="s">
        <v>455</v>
      </c>
      <c r="H44" s="15" t="s">
        <v>35</v>
      </c>
      <c r="I44" s="13" t="s">
        <v>23</v>
      </c>
      <c r="J44" s="14"/>
      <c r="K44" s="13"/>
      <c r="L44" s="14"/>
      <c r="M44" s="13"/>
      <c r="N44" s="13"/>
    </row>
    <row r="45" spans="1:14" ht="48" customHeight="1">
      <c r="A45" s="7" t="s">
        <v>456</v>
      </c>
      <c r="B45" s="8" t="s">
        <v>457</v>
      </c>
      <c r="C45" s="8" t="s">
        <v>458</v>
      </c>
      <c r="D45" s="8" t="s">
        <v>283</v>
      </c>
      <c r="E45" s="8" t="s">
        <v>459</v>
      </c>
      <c r="F45" s="8" t="s">
        <v>460</v>
      </c>
      <c r="G45" s="8" t="s">
        <v>461</v>
      </c>
      <c r="H45" s="16" t="s">
        <v>53</v>
      </c>
      <c r="I45" s="7" t="s">
        <v>54</v>
      </c>
      <c r="J45" s="8"/>
      <c r="K45" s="7"/>
      <c r="L45" s="8"/>
      <c r="M45" s="7"/>
      <c r="N45" s="7"/>
    </row>
    <row r="46" spans="1:14" ht="48" customHeight="1">
      <c r="A46" s="13" t="s">
        <v>462</v>
      </c>
      <c r="B46" s="14" t="s">
        <v>463</v>
      </c>
      <c r="C46" s="14" t="s">
        <v>464</v>
      </c>
      <c r="D46" s="14" t="s">
        <v>465</v>
      </c>
      <c r="E46" s="14" t="s">
        <v>466</v>
      </c>
      <c r="F46" s="14" t="s">
        <v>467</v>
      </c>
      <c r="G46" s="14" t="s">
        <v>468</v>
      </c>
      <c r="H46" s="17" t="s">
        <v>97</v>
      </c>
      <c r="I46" s="13" t="s">
        <v>98</v>
      </c>
      <c r="J46" s="14"/>
      <c r="K46" s="13"/>
      <c r="L46" s="14"/>
      <c r="M46" s="13"/>
      <c r="N46" s="13"/>
    </row>
    <row r="47" spans="1:14" ht="48" customHeight="1">
      <c r="A47" s="7" t="s">
        <v>469</v>
      </c>
      <c r="B47" s="8" t="s">
        <v>470</v>
      </c>
      <c r="C47" s="8" t="s">
        <v>471</v>
      </c>
      <c r="D47" s="8" t="s">
        <v>472</v>
      </c>
      <c r="E47" s="8" t="s">
        <v>473</v>
      </c>
      <c r="F47" s="8" t="s">
        <v>474</v>
      </c>
      <c r="G47" s="8" t="s">
        <v>475</v>
      </c>
      <c r="H47" s="15" t="s">
        <v>35</v>
      </c>
      <c r="I47" s="7" t="s">
        <v>23</v>
      </c>
      <c r="J47" s="8"/>
      <c r="K47" s="7"/>
      <c r="L47" s="8"/>
      <c r="M47" s="7"/>
      <c r="N47" s="7"/>
    </row>
    <row r="48" spans="1:14" ht="48" customHeight="1">
      <c r="A48" s="13" t="s">
        <v>476</v>
      </c>
      <c r="B48" s="14" t="s">
        <v>470</v>
      </c>
      <c r="C48" s="14" t="s">
        <v>477</v>
      </c>
      <c r="D48" s="14" t="s">
        <v>478</v>
      </c>
      <c r="E48" s="14" t="s">
        <v>479</v>
      </c>
      <c r="F48" s="14" t="s">
        <v>480</v>
      </c>
      <c r="G48" s="14" t="s">
        <v>481</v>
      </c>
      <c r="H48" s="16" t="s">
        <v>53</v>
      </c>
      <c r="I48" s="13" t="s">
        <v>54</v>
      </c>
      <c r="J48" s="14"/>
      <c r="K48" s="13"/>
      <c r="L48" s="14"/>
      <c r="M48" s="13"/>
      <c r="N48" s="13"/>
    </row>
    <row r="49" spans="1:14" ht="48" customHeight="1">
      <c r="A49" s="7" t="s">
        <v>482</v>
      </c>
      <c r="B49" s="8" t="s">
        <v>470</v>
      </c>
      <c r="C49" s="8" t="s">
        <v>483</v>
      </c>
      <c r="D49" s="8" t="s">
        <v>484</v>
      </c>
      <c r="E49" s="8" t="s">
        <v>485</v>
      </c>
      <c r="F49" s="8" t="s">
        <v>486</v>
      </c>
      <c r="G49" s="8" t="s">
        <v>487</v>
      </c>
      <c r="H49" s="15" t="s">
        <v>35</v>
      </c>
      <c r="I49" s="7" t="s">
        <v>23</v>
      </c>
      <c r="J49" s="8"/>
      <c r="K49" s="7"/>
      <c r="L49" s="8"/>
      <c r="M49" s="7"/>
      <c r="N49" s="7"/>
    </row>
    <row r="50" spans="1:14" ht="48" customHeight="1">
      <c r="A50" s="13" t="s">
        <v>488</v>
      </c>
      <c r="B50" s="14" t="s">
        <v>470</v>
      </c>
      <c r="C50" s="14" t="s">
        <v>489</v>
      </c>
      <c r="D50" s="14" t="s">
        <v>490</v>
      </c>
      <c r="E50" s="14" t="s">
        <v>491</v>
      </c>
      <c r="F50" s="14" t="s">
        <v>492</v>
      </c>
      <c r="G50" s="14" t="s">
        <v>493</v>
      </c>
      <c r="H50" s="12" t="s">
        <v>22</v>
      </c>
      <c r="I50" s="13" t="s">
        <v>23</v>
      </c>
      <c r="J50" s="14"/>
      <c r="K50" s="13"/>
      <c r="L50" s="14"/>
      <c r="M50" s="13"/>
      <c r="N50" s="13"/>
    </row>
    <row r="51" spans="1:14" ht="48" customHeight="1">
      <c r="A51" s="7" t="s">
        <v>494</v>
      </c>
      <c r="B51" s="8" t="s">
        <v>470</v>
      </c>
      <c r="C51" s="8" t="s">
        <v>495</v>
      </c>
      <c r="D51" s="8" t="s">
        <v>496</v>
      </c>
      <c r="E51" s="8" t="s">
        <v>497</v>
      </c>
      <c r="F51" s="8" t="s">
        <v>498</v>
      </c>
      <c r="G51" s="8" t="s">
        <v>499</v>
      </c>
      <c r="H51" s="17" t="s">
        <v>97</v>
      </c>
      <c r="I51" s="7" t="s">
        <v>98</v>
      </c>
      <c r="J51" s="8"/>
      <c r="K51" s="7"/>
      <c r="L51" s="8"/>
      <c r="M51" s="7"/>
      <c r="N51" s="7"/>
    </row>
    <row r="52" spans="1:14" ht="48" customHeight="1">
      <c r="A52" s="13" t="s">
        <v>500</v>
      </c>
      <c r="B52" s="14" t="s">
        <v>470</v>
      </c>
      <c r="C52" s="14" t="s">
        <v>501</v>
      </c>
      <c r="D52" s="14" t="s">
        <v>502</v>
      </c>
      <c r="E52" s="14" t="s">
        <v>503</v>
      </c>
      <c r="F52" s="14" t="s">
        <v>504</v>
      </c>
      <c r="G52" s="14" t="s">
        <v>505</v>
      </c>
      <c r="H52" s="16" t="s">
        <v>53</v>
      </c>
      <c r="I52" s="13" t="s">
        <v>54</v>
      </c>
      <c r="J52" s="14"/>
      <c r="K52" s="13"/>
      <c r="L52" s="14"/>
      <c r="M52" s="13"/>
      <c r="N52" s="13"/>
    </row>
    <row r="53" spans="1:14" ht="48" customHeight="1">
      <c r="A53" s="7" t="s">
        <v>506</v>
      </c>
      <c r="B53" s="8" t="s">
        <v>470</v>
      </c>
      <c r="C53" s="8" t="s">
        <v>507</v>
      </c>
      <c r="D53" s="8" t="s">
        <v>508</v>
      </c>
      <c r="E53" s="8" t="s">
        <v>509</v>
      </c>
      <c r="F53" s="8" t="s">
        <v>510</v>
      </c>
      <c r="G53" s="8" t="s">
        <v>511</v>
      </c>
      <c r="H53" s="15" t="s">
        <v>35</v>
      </c>
      <c r="I53" s="7" t="s">
        <v>23</v>
      </c>
      <c r="J53" s="8"/>
      <c r="K53" s="7"/>
      <c r="L53" s="8"/>
      <c r="M53" s="7"/>
      <c r="N53" s="7"/>
    </row>
    <row r="54" spans="1:14" ht="48" customHeight="1">
      <c r="A54" s="13" t="s">
        <v>512</v>
      </c>
      <c r="B54" s="14" t="s">
        <v>470</v>
      </c>
      <c r="C54" s="14" t="s">
        <v>513</v>
      </c>
      <c r="D54" s="14" t="s">
        <v>514</v>
      </c>
      <c r="E54" s="14" t="s">
        <v>515</v>
      </c>
      <c r="F54" s="14" t="s">
        <v>516</v>
      </c>
      <c r="G54" s="14" t="s">
        <v>517</v>
      </c>
      <c r="H54" s="15" t="s">
        <v>35</v>
      </c>
      <c r="I54" s="13" t="s">
        <v>23</v>
      </c>
      <c r="J54" s="14"/>
      <c r="K54" s="13"/>
      <c r="L54" s="14"/>
      <c r="M54" s="13"/>
      <c r="N54" s="13"/>
    </row>
    <row r="55" spans="1:14" ht="48" customHeight="1">
      <c r="A55" s="7" t="s">
        <v>518</v>
      </c>
      <c r="B55" s="8" t="s">
        <v>470</v>
      </c>
      <c r="C55" s="8" t="s">
        <v>519</v>
      </c>
      <c r="D55" s="8" t="s">
        <v>514</v>
      </c>
      <c r="E55" s="8" t="s">
        <v>520</v>
      </c>
      <c r="F55" s="8" t="s">
        <v>521</v>
      </c>
      <c r="G55" s="8" t="s">
        <v>522</v>
      </c>
      <c r="H55" s="16" t="s">
        <v>53</v>
      </c>
      <c r="I55" s="7" t="s">
        <v>54</v>
      </c>
      <c r="J55" s="8"/>
      <c r="K55" s="7"/>
      <c r="L55" s="8"/>
      <c r="M55" s="7"/>
      <c r="N55" s="7"/>
    </row>
    <row r="56" spans="1:14" ht="48" customHeight="1">
      <c r="A56" s="13" t="s">
        <v>523</v>
      </c>
      <c r="B56" s="14" t="s">
        <v>470</v>
      </c>
      <c r="C56" s="14" t="s">
        <v>524</v>
      </c>
      <c r="D56" s="14" t="s">
        <v>525</v>
      </c>
      <c r="E56" s="14" t="s">
        <v>526</v>
      </c>
      <c r="F56" s="14" t="s">
        <v>527</v>
      </c>
      <c r="G56" s="14" t="s">
        <v>528</v>
      </c>
      <c r="H56" s="15" t="s">
        <v>35</v>
      </c>
      <c r="I56" s="13" t="s">
        <v>54</v>
      </c>
      <c r="J56" s="14"/>
      <c r="K56" s="13"/>
      <c r="L56" s="14"/>
      <c r="M56" s="13"/>
      <c r="N56" s="13"/>
    </row>
    <row r="57" spans="1:14" ht="48" customHeight="1">
      <c r="A57" s="7" t="s">
        <v>529</v>
      </c>
      <c r="B57" s="8" t="s">
        <v>470</v>
      </c>
      <c r="C57" s="8" t="s">
        <v>530</v>
      </c>
      <c r="D57" s="8" t="s">
        <v>531</v>
      </c>
      <c r="E57" s="8" t="s">
        <v>532</v>
      </c>
      <c r="F57" s="8" t="s">
        <v>533</v>
      </c>
      <c r="G57" s="8" t="s">
        <v>534</v>
      </c>
      <c r="H57" s="17" t="s">
        <v>97</v>
      </c>
      <c r="I57" s="7" t="s">
        <v>98</v>
      </c>
      <c r="J57" s="8"/>
      <c r="K57" s="7"/>
      <c r="L57" s="8"/>
      <c r="M57" s="7"/>
      <c r="N57" s="7"/>
    </row>
    <row r="58" spans="1:14" ht="48" customHeight="1">
      <c r="A58" s="13" t="s">
        <v>535</v>
      </c>
      <c r="B58" s="14" t="s">
        <v>470</v>
      </c>
      <c r="C58" s="14" t="s">
        <v>536</v>
      </c>
      <c r="D58" s="14" t="s">
        <v>537</v>
      </c>
      <c r="E58" s="14" t="s">
        <v>538</v>
      </c>
      <c r="F58" s="14" t="s">
        <v>539</v>
      </c>
      <c r="G58" s="14" t="s">
        <v>540</v>
      </c>
      <c r="H58" s="16" t="s">
        <v>53</v>
      </c>
      <c r="I58" s="13" t="s">
        <v>54</v>
      </c>
      <c r="J58" s="14"/>
      <c r="K58" s="13"/>
      <c r="L58" s="14"/>
      <c r="M58" s="13"/>
      <c r="N58" s="13"/>
    </row>
    <row r="59" spans="1:14" ht="48" customHeight="1">
      <c r="A59" s="7" t="s">
        <v>541</v>
      </c>
      <c r="B59" s="8" t="s">
        <v>470</v>
      </c>
      <c r="C59" s="8" t="s">
        <v>542</v>
      </c>
      <c r="D59" s="8" t="s">
        <v>496</v>
      </c>
      <c r="E59" s="8" t="s">
        <v>543</v>
      </c>
      <c r="F59" s="8" t="s">
        <v>544</v>
      </c>
      <c r="G59" s="8" t="s">
        <v>545</v>
      </c>
      <c r="H59" s="16" t="s">
        <v>53</v>
      </c>
      <c r="I59" s="7" t="s">
        <v>54</v>
      </c>
      <c r="J59" s="8"/>
      <c r="K59" s="7"/>
      <c r="L59" s="8"/>
      <c r="M59" s="7"/>
      <c r="N59" s="7"/>
    </row>
  </sheetData>
  <mergeCells count="1">
    <mergeCell ref="A1:N1"/>
  </mergeCells>
  <dataValidations count="1">
    <dataValidation type="list" allowBlank="1" showInputMessage="1" showErrorMessage="1" promptTitle="Trạng thái Test" prompt="Chọn: Pass, Fail, Blocked hoặc Untested" sqref="K3:K59">
      <formula1>"Pass,Fail,Blocked,Untested"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2563EB"/>
  </sheetPr>
  <dimension ref="A1:N32"/>
  <sheetViews>
    <sheetView workbookViewId="0">
      <pane xSplit="2" ySplit="2" topLeftCell="C3" activePane="bottomRight" state="frozen"/>
      <selection pane="topRight" activeCell="C1" sqref="C1"/>
      <selection pane="bottomLeft" activeCell="A3" sqref="A3"/>
      <selection pane="bottomRight"/>
    </sheetView>
  </sheetViews>
  <sheetFormatPr defaultRowHeight="15"/>
  <cols>
    <col min="1" max="1" width="14.7109375" customWidth="1"/>
    <col min="2" max="2" width="20.7109375" customWidth="1"/>
    <col min="3" max="3" width="30.7109375" customWidth="1"/>
    <col min="4" max="4" width="25.7109375" customWidth="1"/>
    <col min="5" max="5" width="34.7109375" customWidth="1"/>
    <col min="6" max="6" width="24.7109375" customWidth="1"/>
    <col min="7" max="7" width="34.7109375" customWidth="1"/>
    <col min="8" max="8" width="12.7109375" customWidth="1"/>
    <col min="9" max="9" width="10.7109375" customWidth="1"/>
    <col min="10" max="10" width="26.7109375" customWidth="1"/>
    <col min="11" max="11" width="12.7109375" customWidth="1"/>
    <col min="12" max="12" width="22.7109375" customWidth="1"/>
    <col min="13" max="13" width="14.7109375" customWidth="1"/>
    <col min="14" max="14" width="13.7109375" customWidth="1"/>
  </cols>
  <sheetData>
    <row r="1" spans="1:14" ht="32" customHeight="1">
      <c r="A1" s="1" t="s">
        <v>546</v>
      </c>
      <c r="B1" s="1"/>
      <c r="C1" s="1"/>
      <c r="D1" s="1"/>
      <c r="E1" s="1"/>
      <c r="F1" s="1"/>
      <c r="G1" s="1"/>
      <c r="H1" s="1"/>
      <c r="I1" s="1"/>
      <c r="J1" s="1"/>
      <c r="K1" s="1"/>
      <c r="L1" s="1"/>
      <c r="M1" s="1"/>
      <c r="N1" s="1"/>
    </row>
    <row r="2" spans="1:14" ht="28" customHeight="1">
      <c r="A2" s="6" t="s">
        <v>1</v>
      </c>
      <c r="B2" s="6" t="s">
        <v>2</v>
      </c>
      <c r="C2" s="6" t="s">
        <v>3</v>
      </c>
      <c r="D2" s="6" t="s">
        <v>4</v>
      </c>
      <c r="E2" s="6" t="s">
        <v>5</v>
      </c>
      <c r="F2" s="6" t="s">
        <v>6</v>
      </c>
      <c r="G2" s="6" t="s">
        <v>7</v>
      </c>
      <c r="H2" s="6" t="s">
        <v>8</v>
      </c>
      <c r="I2" s="6" t="s">
        <v>9</v>
      </c>
      <c r="J2" s="6" t="s">
        <v>10</v>
      </c>
      <c r="K2" s="6" t="s">
        <v>11</v>
      </c>
      <c r="L2" s="6" t="s">
        <v>12</v>
      </c>
      <c r="M2" s="6" t="s">
        <v>13</v>
      </c>
      <c r="N2" s="6" t="s">
        <v>14</v>
      </c>
    </row>
    <row r="3" spans="1:14" ht="48" customHeight="1">
      <c r="A3" s="7" t="s">
        <v>547</v>
      </c>
      <c r="B3" s="8" t="s">
        <v>548</v>
      </c>
      <c r="C3" s="8" t="s">
        <v>549</v>
      </c>
      <c r="D3" s="8" t="s">
        <v>550</v>
      </c>
      <c r="E3" s="8" t="s">
        <v>551</v>
      </c>
      <c r="F3" s="8" t="s">
        <v>552</v>
      </c>
      <c r="G3" s="8" t="s">
        <v>553</v>
      </c>
      <c r="H3" s="15" t="s">
        <v>35</v>
      </c>
      <c r="I3" s="7" t="s">
        <v>23</v>
      </c>
      <c r="J3" s="8"/>
      <c r="K3" s="7"/>
      <c r="L3" s="8"/>
      <c r="M3" s="7"/>
      <c r="N3" s="7"/>
    </row>
    <row r="4" spans="1:14" ht="48" customHeight="1">
      <c r="A4" s="13" t="s">
        <v>554</v>
      </c>
      <c r="B4" s="14" t="s">
        <v>219</v>
      </c>
      <c r="C4" s="14" t="s">
        <v>555</v>
      </c>
      <c r="D4" s="14" t="s">
        <v>556</v>
      </c>
      <c r="E4" s="14" t="s">
        <v>557</v>
      </c>
      <c r="F4" s="14" t="s">
        <v>558</v>
      </c>
      <c r="G4" s="14" t="s">
        <v>559</v>
      </c>
      <c r="H4" s="15" t="s">
        <v>35</v>
      </c>
      <c r="I4" s="13" t="s">
        <v>23</v>
      </c>
      <c r="J4" s="14"/>
      <c r="K4" s="13"/>
      <c r="L4" s="14"/>
      <c r="M4" s="13"/>
      <c r="N4" s="13"/>
    </row>
    <row r="5" spans="1:14" ht="48" customHeight="1">
      <c r="A5" s="7" t="s">
        <v>560</v>
      </c>
      <c r="B5" s="8" t="s">
        <v>561</v>
      </c>
      <c r="C5" s="8" t="s">
        <v>562</v>
      </c>
      <c r="D5" s="8" t="s">
        <v>563</v>
      </c>
      <c r="E5" s="8" t="s">
        <v>564</v>
      </c>
      <c r="F5" s="8" t="s">
        <v>235</v>
      </c>
      <c r="G5" s="8" t="s">
        <v>565</v>
      </c>
      <c r="H5" s="15" t="s">
        <v>35</v>
      </c>
      <c r="I5" s="7" t="s">
        <v>23</v>
      </c>
      <c r="J5" s="8"/>
      <c r="K5" s="7"/>
      <c r="L5" s="8"/>
      <c r="M5" s="7"/>
      <c r="N5" s="7"/>
    </row>
    <row r="6" spans="1:14" ht="48" customHeight="1">
      <c r="A6" s="13" t="s">
        <v>566</v>
      </c>
      <c r="B6" s="14" t="s">
        <v>561</v>
      </c>
      <c r="C6" s="14" t="s">
        <v>567</v>
      </c>
      <c r="D6" s="14" t="s">
        <v>568</v>
      </c>
      <c r="E6" s="14" t="s">
        <v>569</v>
      </c>
      <c r="F6" s="14" t="s">
        <v>111</v>
      </c>
      <c r="G6" s="14" t="s">
        <v>570</v>
      </c>
      <c r="H6" s="15" t="s">
        <v>35</v>
      </c>
      <c r="I6" s="13" t="s">
        <v>23</v>
      </c>
      <c r="J6" s="14"/>
      <c r="K6" s="13"/>
      <c r="L6" s="14"/>
      <c r="M6" s="13"/>
      <c r="N6" s="13"/>
    </row>
    <row r="7" spans="1:14" ht="48" customHeight="1">
      <c r="A7" s="7" t="s">
        <v>571</v>
      </c>
      <c r="B7" s="8" t="s">
        <v>572</v>
      </c>
      <c r="C7" s="8" t="s">
        <v>573</v>
      </c>
      <c r="D7" s="8" t="s">
        <v>574</v>
      </c>
      <c r="E7" s="8" t="s">
        <v>575</v>
      </c>
      <c r="F7" s="8" t="s">
        <v>576</v>
      </c>
      <c r="G7" s="8" t="s">
        <v>577</v>
      </c>
      <c r="H7" s="12" t="s">
        <v>22</v>
      </c>
      <c r="I7" s="7" t="s">
        <v>23</v>
      </c>
      <c r="J7" s="8"/>
      <c r="K7" s="7"/>
      <c r="L7" s="8"/>
      <c r="M7" s="7"/>
      <c r="N7" s="7"/>
    </row>
    <row r="8" spans="1:14" ht="48" customHeight="1">
      <c r="A8" s="13" t="s">
        <v>578</v>
      </c>
      <c r="B8" s="14" t="s">
        <v>579</v>
      </c>
      <c r="C8" s="14" t="s">
        <v>580</v>
      </c>
      <c r="D8" s="14" t="s">
        <v>581</v>
      </c>
      <c r="E8" s="14" t="s">
        <v>582</v>
      </c>
      <c r="F8" s="14" t="s">
        <v>266</v>
      </c>
      <c r="G8" s="14" t="s">
        <v>583</v>
      </c>
      <c r="H8" s="16" t="s">
        <v>53</v>
      </c>
      <c r="I8" s="13" t="s">
        <v>54</v>
      </c>
      <c r="J8" s="14"/>
      <c r="K8" s="13"/>
      <c r="L8" s="14"/>
      <c r="M8" s="13"/>
      <c r="N8" s="13"/>
    </row>
    <row r="9" spans="1:14" ht="48" customHeight="1">
      <c r="A9" s="7" t="s">
        <v>584</v>
      </c>
      <c r="B9" s="8" t="s">
        <v>585</v>
      </c>
      <c r="C9" s="8" t="s">
        <v>586</v>
      </c>
      <c r="D9" s="8" t="s">
        <v>587</v>
      </c>
      <c r="E9" s="8" t="s">
        <v>588</v>
      </c>
      <c r="F9" s="8" t="s">
        <v>589</v>
      </c>
      <c r="G9" s="8" t="s">
        <v>590</v>
      </c>
      <c r="H9" s="15" t="s">
        <v>35</v>
      </c>
      <c r="I9" s="7" t="s">
        <v>54</v>
      </c>
      <c r="J9" s="8"/>
      <c r="K9" s="7"/>
      <c r="L9" s="8"/>
      <c r="M9" s="7"/>
      <c r="N9" s="7"/>
    </row>
    <row r="10" spans="1:14" ht="48" customHeight="1">
      <c r="A10" s="13" t="s">
        <v>591</v>
      </c>
      <c r="B10" s="14" t="s">
        <v>585</v>
      </c>
      <c r="C10" s="14" t="s">
        <v>592</v>
      </c>
      <c r="D10" s="14" t="s">
        <v>593</v>
      </c>
      <c r="E10" s="14" t="s">
        <v>594</v>
      </c>
      <c r="F10" s="14" t="s">
        <v>595</v>
      </c>
      <c r="G10" s="14" t="s">
        <v>596</v>
      </c>
      <c r="H10" s="16" t="s">
        <v>53</v>
      </c>
      <c r="I10" s="13" t="s">
        <v>54</v>
      </c>
      <c r="J10" s="14"/>
      <c r="K10" s="13"/>
      <c r="L10" s="14"/>
      <c r="M10" s="13"/>
      <c r="N10" s="13"/>
    </row>
    <row r="11" spans="1:14" ht="48" customHeight="1">
      <c r="A11" s="7" t="s">
        <v>597</v>
      </c>
      <c r="B11" s="8" t="s">
        <v>598</v>
      </c>
      <c r="C11" s="8" t="s">
        <v>599</v>
      </c>
      <c r="D11" s="8" t="s">
        <v>600</v>
      </c>
      <c r="E11" s="8" t="s">
        <v>601</v>
      </c>
      <c r="F11" s="8" t="s">
        <v>602</v>
      </c>
      <c r="G11" s="8" t="s">
        <v>603</v>
      </c>
      <c r="H11" s="15" t="s">
        <v>35</v>
      </c>
      <c r="I11" s="7" t="s">
        <v>54</v>
      </c>
      <c r="J11" s="8"/>
      <c r="K11" s="7"/>
      <c r="L11" s="8"/>
      <c r="M11" s="7"/>
      <c r="N11" s="7"/>
    </row>
    <row r="12" spans="1:14" ht="48" customHeight="1">
      <c r="A12" s="13" t="s">
        <v>604</v>
      </c>
      <c r="B12" s="14" t="s">
        <v>598</v>
      </c>
      <c r="C12" s="14" t="s">
        <v>605</v>
      </c>
      <c r="D12" s="14" t="s">
        <v>606</v>
      </c>
      <c r="E12" s="14" t="s">
        <v>607</v>
      </c>
      <c r="F12" s="14" t="s">
        <v>608</v>
      </c>
      <c r="G12" s="14" t="s">
        <v>609</v>
      </c>
      <c r="H12" s="12" t="s">
        <v>22</v>
      </c>
      <c r="I12" s="13" t="s">
        <v>23</v>
      </c>
      <c r="J12" s="14"/>
      <c r="K12" s="13"/>
      <c r="L12" s="14"/>
      <c r="M12" s="13"/>
      <c r="N12" s="13"/>
    </row>
    <row r="13" spans="1:14" ht="48" customHeight="1">
      <c r="A13" s="7" t="s">
        <v>610</v>
      </c>
      <c r="B13" s="8" t="s">
        <v>611</v>
      </c>
      <c r="C13" s="8" t="s">
        <v>612</v>
      </c>
      <c r="D13" s="8" t="s">
        <v>613</v>
      </c>
      <c r="E13" s="8" t="s">
        <v>614</v>
      </c>
      <c r="F13" s="8" t="s">
        <v>615</v>
      </c>
      <c r="G13" s="8" t="s">
        <v>616</v>
      </c>
      <c r="H13" s="12" t="s">
        <v>22</v>
      </c>
      <c r="I13" s="7" t="s">
        <v>23</v>
      </c>
      <c r="J13" s="8"/>
      <c r="K13" s="7"/>
      <c r="L13" s="8"/>
      <c r="M13" s="7"/>
      <c r="N13" s="7"/>
    </row>
    <row r="14" spans="1:14" ht="48" customHeight="1">
      <c r="A14" s="13" t="s">
        <v>617</v>
      </c>
      <c r="B14" s="14" t="s">
        <v>618</v>
      </c>
      <c r="C14" s="14" t="s">
        <v>619</v>
      </c>
      <c r="D14" s="14" t="s">
        <v>613</v>
      </c>
      <c r="E14" s="14" t="s">
        <v>620</v>
      </c>
      <c r="F14" s="14" t="s">
        <v>621</v>
      </c>
      <c r="G14" s="14" t="s">
        <v>622</v>
      </c>
      <c r="H14" s="15" t="s">
        <v>35</v>
      </c>
      <c r="I14" s="13" t="s">
        <v>23</v>
      </c>
      <c r="J14" s="14"/>
      <c r="K14" s="13"/>
      <c r="L14" s="14"/>
      <c r="M14" s="13"/>
      <c r="N14" s="13"/>
    </row>
    <row r="15" spans="1:14" ht="48" customHeight="1">
      <c r="A15" s="7" t="s">
        <v>623</v>
      </c>
      <c r="B15" s="8" t="s">
        <v>624</v>
      </c>
      <c r="C15" s="8" t="s">
        <v>625</v>
      </c>
      <c r="D15" s="8" t="s">
        <v>626</v>
      </c>
      <c r="E15" s="8" t="s">
        <v>627</v>
      </c>
      <c r="F15" s="8" t="s">
        <v>628</v>
      </c>
      <c r="G15" s="8" t="s">
        <v>629</v>
      </c>
      <c r="H15" s="15" t="s">
        <v>35</v>
      </c>
      <c r="I15" s="7" t="s">
        <v>23</v>
      </c>
      <c r="J15" s="8"/>
      <c r="K15" s="7"/>
      <c r="L15" s="8"/>
      <c r="M15" s="7"/>
      <c r="N15" s="7"/>
    </row>
    <row r="16" spans="1:14" ht="48" customHeight="1">
      <c r="A16" s="13" t="s">
        <v>630</v>
      </c>
      <c r="B16" s="14" t="s">
        <v>624</v>
      </c>
      <c r="C16" s="14" t="s">
        <v>631</v>
      </c>
      <c r="D16" s="14" t="s">
        <v>632</v>
      </c>
      <c r="E16" s="14" t="s">
        <v>633</v>
      </c>
      <c r="F16" s="14" t="s">
        <v>634</v>
      </c>
      <c r="G16" s="14" t="s">
        <v>635</v>
      </c>
      <c r="H16" s="12" t="s">
        <v>22</v>
      </c>
      <c r="I16" s="13" t="s">
        <v>23</v>
      </c>
      <c r="J16" s="14"/>
      <c r="K16" s="13"/>
      <c r="L16" s="14"/>
      <c r="M16" s="13"/>
      <c r="N16" s="13"/>
    </row>
    <row r="17" spans="1:14" ht="48" customHeight="1">
      <c r="A17" s="7" t="s">
        <v>636</v>
      </c>
      <c r="B17" s="8" t="s">
        <v>637</v>
      </c>
      <c r="C17" s="8" t="s">
        <v>638</v>
      </c>
      <c r="D17" s="8" t="s">
        <v>632</v>
      </c>
      <c r="E17" s="8" t="s">
        <v>639</v>
      </c>
      <c r="F17" s="8" t="s">
        <v>640</v>
      </c>
      <c r="G17" s="8" t="s">
        <v>641</v>
      </c>
      <c r="H17" s="15" t="s">
        <v>35</v>
      </c>
      <c r="I17" s="7" t="s">
        <v>23</v>
      </c>
      <c r="J17" s="8"/>
      <c r="K17" s="7"/>
      <c r="L17" s="8"/>
      <c r="M17" s="7"/>
      <c r="N17" s="7"/>
    </row>
    <row r="18" spans="1:14" ht="48" customHeight="1">
      <c r="A18" s="13" t="s">
        <v>642</v>
      </c>
      <c r="B18" s="14" t="s">
        <v>643</v>
      </c>
      <c r="C18" s="14" t="s">
        <v>644</v>
      </c>
      <c r="D18" s="14" t="s">
        <v>645</v>
      </c>
      <c r="E18" s="14" t="s">
        <v>646</v>
      </c>
      <c r="F18" s="14" t="s">
        <v>348</v>
      </c>
      <c r="G18" s="14" t="s">
        <v>647</v>
      </c>
      <c r="H18" s="15" t="s">
        <v>35</v>
      </c>
      <c r="I18" s="13" t="s">
        <v>23</v>
      </c>
      <c r="J18" s="14"/>
      <c r="K18" s="13"/>
      <c r="L18" s="14"/>
      <c r="M18" s="13"/>
      <c r="N18" s="13"/>
    </row>
    <row r="19" spans="1:14" ht="48" customHeight="1">
      <c r="A19" s="7" t="s">
        <v>648</v>
      </c>
      <c r="B19" s="8" t="s">
        <v>643</v>
      </c>
      <c r="C19" s="8" t="s">
        <v>649</v>
      </c>
      <c r="D19" s="8" t="s">
        <v>650</v>
      </c>
      <c r="E19" s="8" t="s">
        <v>651</v>
      </c>
      <c r="F19" s="8" t="s">
        <v>652</v>
      </c>
      <c r="G19" s="8" t="s">
        <v>653</v>
      </c>
      <c r="H19" s="15" t="s">
        <v>35</v>
      </c>
      <c r="I19" s="7" t="s">
        <v>23</v>
      </c>
      <c r="J19" s="8"/>
      <c r="K19" s="7"/>
      <c r="L19" s="8"/>
      <c r="M19" s="7"/>
      <c r="N19" s="7"/>
    </row>
    <row r="20" spans="1:14" ht="48" customHeight="1">
      <c r="A20" s="13" t="s">
        <v>654</v>
      </c>
      <c r="B20" s="14" t="s">
        <v>655</v>
      </c>
      <c r="C20" s="14" t="s">
        <v>656</v>
      </c>
      <c r="D20" s="14" t="s">
        <v>657</v>
      </c>
      <c r="E20" s="14" t="s">
        <v>658</v>
      </c>
      <c r="F20" s="14" t="s">
        <v>659</v>
      </c>
      <c r="G20" s="14" t="s">
        <v>660</v>
      </c>
      <c r="H20" s="16" t="s">
        <v>53</v>
      </c>
      <c r="I20" s="13" t="s">
        <v>54</v>
      </c>
      <c r="J20" s="14"/>
      <c r="K20" s="13"/>
      <c r="L20" s="14"/>
      <c r="M20" s="13"/>
      <c r="N20" s="13"/>
    </row>
    <row r="21" spans="1:14" ht="48" customHeight="1">
      <c r="A21" s="7" t="s">
        <v>661</v>
      </c>
      <c r="B21" s="8" t="s">
        <v>662</v>
      </c>
      <c r="C21" s="8" t="s">
        <v>663</v>
      </c>
      <c r="D21" s="8" t="s">
        <v>664</v>
      </c>
      <c r="E21" s="8" t="s">
        <v>665</v>
      </c>
      <c r="F21" s="8" t="s">
        <v>666</v>
      </c>
      <c r="G21" s="8" t="s">
        <v>667</v>
      </c>
      <c r="H21" s="15" t="s">
        <v>35</v>
      </c>
      <c r="I21" s="7" t="s">
        <v>23</v>
      </c>
      <c r="J21" s="8"/>
      <c r="K21" s="7"/>
      <c r="L21" s="8"/>
      <c r="M21" s="7"/>
      <c r="N21" s="7"/>
    </row>
    <row r="22" spans="1:14" ht="48" customHeight="1">
      <c r="A22" s="13" t="s">
        <v>668</v>
      </c>
      <c r="B22" s="14" t="s">
        <v>669</v>
      </c>
      <c r="C22" s="14" t="s">
        <v>670</v>
      </c>
      <c r="D22" s="14" t="s">
        <v>671</v>
      </c>
      <c r="E22" s="14" t="s">
        <v>672</v>
      </c>
      <c r="F22" s="14" t="s">
        <v>673</v>
      </c>
      <c r="G22" s="14" t="s">
        <v>674</v>
      </c>
      <c r="H22" s="16" t="s">
        <v>53</v>
      </c>
      <c r="I22" s="13" t="s">
        <v>54</v>
      </c>
      <c r="J22" s="14"/>
      <c r="K22" s="13"/>
      <c r="L22" s="14"/>
      <c r="M22" s="13"/>
      <c r="N22" s="13"/>
    </row>
    <row r="23" spans="1:14" ht="48" customHeight="1">
      <c r="A23" s="7" t="s">
        <v>675</v>
      </c>
      <c r="B23" s="8" t="s">
        <v>676</v>
      </c>
      <c r="C23" s="8" t="s">
        <v>677</v>
      </c>
      <c r="D23" s="8" t="s">
        <v>678</v>
      </c>
      <c r="E23" s="8" t="s">
        <v>679</v>
      </c>
      <c r="F23" s="8" t="s">
        <v>680</v>
      </c>
      <c r="G23" s="8" t="s">
        <v>681</v>
      </c>
      <c r="H23" s="15" t="s">
        <v>35</v>
      </c>
      <c r="I23" s="7" t="s">
        <v>23</v>
      </c>
      <c r="J23" s="8"/>
      <c r="K23" s="7"/>
      <c r="L23" s="8"/>
      <c r="M23" s="7"/>
      <c r="N23" s="7"/>
    </row>
    <row r="24" spans="1:14" ht="48" customHeight="1">
      <c r="A24" s="13" t="s">
        <v>682</v>
      </c>
      <c r="B24" s="14" t="s">
        <v>683</v>
      </c>
      <c r="C24" s="14" t="s">
        <v>684</v>
      </c>
      <c r="D24" s="14" t="s">
        <v>685</v>
      </c>
      <c r="E24" s="14" t="s">
        <v>686</v>
      </c>
      <c r="F24" s="14" t="s">
        <v>687</v>
      </c>
      <c r="G24" s="14" t="s">
        <v>688</v>
      </c>
      <c r="H24" s="16" t="s">
        <v>53</v>
      </c>
      <c r="I24" s="13" t="s">
        <v>54</v>
      </c>
      <c r="J24" s="14"/>
      <c r="K24" s="13"/>
      <c r="L24" s="14"/>
      <c r="M24" s="13"/>
      <c r="N24" s="13"/>
    </row>
    <row r="25" spans="1:14" ht="48" customHeight="1">
      <c r="A25" s="7" t="s">
        <v>689</v>
      </c>
      <c r="B25" s="8" t="s">
        <v>690</v>
      </c>
      <c r="C25" s="8" t="s">
        <v>691</v>
      </c>
      <c r="D25" s="8" t="s">
        <v>692</v>
      </c>
      <c r="E25" s="8" t="s">
        <v>693</v>
      </c>
      <c r="F25" s="8" t="s">
        <v>111</v>
      </c>
      <c r="G25" s="8" t="s">
        <v>694</v>
      </c>
      <c r="H25" s="16" t="s">
        <v>53</v>
      </c>
      <c r="I25" s="7" t="s">
        <v>54</v>
      </c>
      <c r="J25" s="8"/>
      <c r="K25" s="7"/>
      <c r="L25" s="8"/>
      <c r="M25" s="7"/>
      <c r="N25" s="7"/>
    </row>
    <row r="26" spans="1:14" ht="48" customHeight="1">
      <c r="A26" s="13" t="s">
        <v>695</v>
      </c>
      <c r="B26" s="14" t="s">
        <v>696</v>
      </c>
      <c r="C26" s="14" t="s">
        <v>697</v>
      </c>
      <c r="D26" s="14" t="s">
        <v>698</v>
      </c>
      <c r="E26" s="14" t="s">
        <v>699</v>
      </c>
      <c r="F26" s="14" t="s">
        <v>397</v>
      </c>
      <c r="G26" s="14" t="s">
        <v>700</v>
      </c>
      <c r="H26" s="16" t="s">
        <v>53</v>
      </c>
      <c r="I26" s="13" t="s">
        <v>54</v>
      </c>
      <c r="J26" s="14"/>
      <c r="K26" s="13"/>
      <c r="L26" s="14"/>
      <c r="M26" s="13"/>
      <c r="N26" s="13"/>
    </row>
    <row r="27" spans="1:14" ht="48" customHeight="1">
      <c r="A27" s="7" t="s">
        <v>701</v>
      </c>
      <c r="B27" s="8" t="s">
        <v>702</v>
      </c>
      <c r="C27" s="8" t="s">
        <v>703</v>
      </c>
      <c r="D27" s="8" t="s">
        <v>550</v>
      </c>
      <c r="E27" s="8" t="s">
        <v>704</v>
      </c>
      <c r="F27" s="8" t="s">
        <v>422</v>
      </c>
      <c r="G27" s="8" t="s">
        <v>705</v>
      </c>
      <c r="H27" s="16" t="s">
        <v>53</v>
      </c>
      <c r="I27" s="7" t="s">
        <v>98</v>
      </c>
      <c r="J27" s="8"/>
      <c r="K27" s="7"/>
      <c r="L27" s="8"/>
      <c r="M27" s="7"/>
      <c r="N27" s="7"/>
    </row>
    <row r="28" spans="1:14" ht="48" customHeight="1">
      <c r="A28" s="13" t="s">
        <v>706</v>
      </c>
      <c r="B28" s="14" t="s">
        <v>707</v>
      </c>
      <c r="C28" s="14" t="s">
        <v>708</v>
      </c>
      <c r="D28" s="14" t="s">
        <v>709</v>
      </c>
      <c r="E28" s="14" t="s">
        <v>710</v>
      </c>
      <c r="F28" s="14" t="s">
        <v>711</v>
      </c>
      <c r="G28" s="14" t="s">
        <v>712</v>
      </c>
      <c r="H28" s="12" t="s">
        <v>22</v>
      </c>
      <c r="I28" s="13" t="s">
        <v>23</v>
      </c>
      <c r="J28" s="14"/>
      <c r="K28" s="13"/>
      <c r="L28" s="14"/>
      <c r="M28" s="13"/>
      <c r="N28" s="13"/>
    </row>
    <row r="29" spans="1:14" ht="48" customHeight="1">
      <c r="A29" s="7" t="s">
        <v>713</v>
      </c>
      <c r="B29" s="8" t="s">
        <v>669</v>
      </c>
      <c r="C29" s="8" t="s">
        <v>714</v>
      </c>
      <c r="D29" s="8" t="s">
        <v>671</v>
      </c>
      <c r="E29" s="8" t="s">
        <v>715</v>
      </c>
      <c r="F29" s="8" t="s">
        <v>716</v>
      </c>
      <c r="G29" s="8" t="s">
        <v>717</v>
      </c>
      <c r="H29" s="16" t="s">
        <v>53</v>
      </c>
      <c r="I29" s="7" t="s">
        <v>54</v>
      </c>
      <c r="J29" s="8"/>
      <c r="K29" s="7"/>
      <c r="L29" s="8"/>
      <c r="M29" s="7"/>
      <c r="N29" s="7"/>
    </row>
    <row r="30" spans="1:14" ht="48" customHeight="1">
      <c r="A30" s="13" t="s">
        <v>718</v>
      </c>
      <c r="B30" s="14" t="s">
        <v>643</v>
      </c>
      <c r="C30" s="14" t="s">
        <v>719</v>
      </c>
      <c r="D30" s="14" t="s">
        <v>657</v>
      </c>
      <c r="E30" s="14" t="s">
        <v>720</v>
      </c>
      <c r="F30" s="14" t="s">
        <v>721</v>
      </c>
      <c r="G30" s="14" t="s">
        <v>722</v>
      </c>
      <c r="H30" s="16" t="s">
        <v>53</v>
      </c>
      <c r="I30" s="13" t="s">
        <v>54</v>
      </c>
      <c r="J30" s="14"/>
      <c r="K30" s="13"/>
      <c r="L30" s="14"/>
      <c r="M30" s="13"/>
      <c r="N30" s="13"/>
    </row>
    <row r="31" spans="1:14" ht="48" customHeight="1">
      <c r="A31" s="7" t="s">
        <v>723</v>
      </c>
      <c r="B31" s="8" t="s">
        <v>724</v>
      </c>
      <c r="C31" s="8" t="s">
        <v>725</v>
      </c>
      <c r="D31" s="8" t="s">
        <v>726</v>
      </c>
      <c r="E31" s="8" t="s">
        <v>727</v>
      </c>
      <c r="F31" s="8" t="s">
        <v>728</v>
      </c>
      <c r="G31" s="8" t="s">
        <v>729</v>
      </c>
      <c r="H31" s="16" t="s">
        <v>53</v>
      </c>
      <c r="I31" s="7" t="s">
        <v>54</v>
      </c>
      <c r="J31" s="8"/>
      <c r="K31" s="7"/>
      <c r="L31" s="8"/>
      <c r="M31" s="7"/>
      <c r="N31" s="7"/>
    </row>
    <row r="32" spans="1:14" ht="48" customHeight="1">
      <c r="A32" s="13" t="s">
        <v>730</v>
      </c>
      <c r="B32" s="14" t="s">
        <v>731</v>
      </c>
      <c r="C32" s="14" t="s">
        <v>732</v>
      </c>
      <c r="D32" s="14" t="s">
        <v>733</v>
      </c>
      <c r="E32" s="14" t="s">
        <v>734</v>
      </c>
      <c r="F32" s="14" t="s">
        <v>735</v>
      </c>
      <c r="G32" s="14" t="s">
        <v>736</v>
      </c>
      <c r="H32" s="15" t="s">
        <v>35</v>
      </c>
      <c r="I32" s="13" t="s">
        <v>54</v>
      </c>
      <c r="J32" s="14"/>
      <c r="K32" s="13"/>
      <c r="L32" s="14"/>
      <c r="M32" s="13"/>
      <c r="N32" s="13"/>
    </row>
  </sheetData>
  <mergeCells count="1">
    <mergeCell ref="A1:N1"/>
  </mergeCells>
  <dataValidations count="1">
    <dataValidation type="list" allowBlank="1" showInputMessage="1" showErrorMessage="1" promptTitle="Trạng thái Test" prompt="Chọn: Pass, Fail, Blocked hoặc Untested" sqref="K3:K32">
      <formula1>"Pass,Fail,Blocked,Untested"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59669"/>
  </sheetPr>
  <dimension ref="A1:N27"/>
  <sheetViews>
    <sheetView workbookViewId="0">
      <pane xSplit="2" ySplit="2" topLeftCell="C3" activePane="bottomRight" state="frozen"/>
      <selection pane="topRight" activeCell="C1" sqref="C1"/>
      <selection pane="bottomLeft" activeCell="A3" sqref="A3"/>
      <selection pane="bottomRight"/>
    </sheetView>
  </sheetViews>
  <sheetFormatPr defaultRowHeight="15"/>
  <cols>
    <col min="1" max="1" width="14.7109375" customWidth="1"/>
    <col min="2" max="2" width="20.7109375" customWidth="1"/>
    <col min="3" max="3" width="30.7109375" customWidth="1"/>
    <col min="4" max="4" width="25.7109375" customWidth="1"/>
    <col min="5" max="5" width="34.7109375" customWidth="1"/>
    <col min="6" max="6" width="24.7109375" customWidth="1"/>
    <col min="7" max="7" width="34.7109375" customWidth="1"/>
    <col min="8" max="8" width="12.7109375" customWidth="1"/>
    <col min="9" max="9" width="10.7109375" customWidth="1"/>
    <col min="10" max="10" width="26.7109375" customWidth="1"/>
    <col min="11" max="11" width="12.7109375" customWidth="1"/>
    <col min="12" max="12" width="22.7109375" customWidth="1"/>
    <col min="13" max="13" width="14.7109375" customWidth="1"/>
    <col min="14" max="14" width="13.7109375" customWidth="1"/>
  </cols>
  <sheetData>
    <row r="1" spans="1:14" ht="32" customHeight="1">
      <c r="A1" s="1" t="s">
        <v>737</v>
      </c>
      <c r="B1" s="1"/>
      <c r="C1" s="1"/>
      <c r="D1" s="1"/>
      <c r="E1" s="1"/>
      <c r="F1" s="1"/>
      <c r="G1" s="1"/>
      <c r="H1" s="1"/>
      <c r="I1" s="1"/>
      <c r="J1" s="1"/>
      <c r="K1" s="1"/>
      <c r="L1" s="1"/>
      <c r="M1" s="1"/>
      <c r="N1" s="1"/>
    </row>
    <row r="2" spans="1:14" ht="28" customHeight="1">
      <c r="A2" s="6" t="s">
        <v>1</v>
      </c>
      <c r="B2" s="6" t="s">
        <v>2</v>
      </c>
      <c r="C2" s="6" t="s">
        <v>3</v>
      </c>
      <c r="D2" s="6" t="s">
        <v>4</v>
      </c>
      <c r="E2" s="6" t="s">
        <v>5</v>
      </c>
      <c r="F2" s="6" t="s">
        <v>6</v>
      </c>
      <c r="G2" s="6" t="s">
        <v>7</v>
      </c>
      <c r="H2" s="6" t="s">
        <v>8</v>
      </c>
      <c r="I2" s="6" t="s">
        <v>9</v>
      </c>
      <c r="J2" s="6" t="s">
        <v>10</v>
      </c>
      <c r="K2" s="6" t="s">
        <v>11</v>
      </c>
      <c r="L2" s="6" t="s">
        <v>12</v>
      </c>
      <c r="M2" s="6" t="s">
        <v>13</v>
      </c>
      <c r="N2" s="6" t="s">
        <v>14</v>
      </c>
    </row>
    <row r="3" spans="1:14" ht="48" customHeight="1">
      <c r="A3" s="7" t="s">
        <v>738</v>
      </c>
      <c r="B3" s="8" t="s">
        <v>739</v>
      </c>
      <c r="C3" s="8" t="s">
        <v>740</v>
      </c>
      <c r="D3" s="8" t="s">
        <v>741</v>
      </c>
      <c r="E3" s="8" t="s">
        <v>742</v>
      </c>
      <c r="F3" s="8" t="s">
        <v>743</v>
      </c>
      <c r="G3" s="8" t="s">
        <v>744</v>
      </c>
      <c r="H3" s="15" t="s">
        <v>35</v>
      </c>
      <c r="I3" s="7" t="s">
        <v>23</v>
      </c>
      <c r="J3" s="8"/>
      <c r="K3" s="7"/>
      <c r="L3" s="8"/>
      <c r="M3" s="7"/>
      <c r="N3" s="7"/>
    </row>
    <row r="4" spans="1:14" ht="48" customHeight="1">
      <c r="A4" s="13" t="s">
        <v>745</v>
      </c>
      <c r="B4" s="14" t="s">
        <v>739</v>
      </c>
      <c r="C4" s="14" t="s">
        <v>746</v>
      </c>
      <c r="D4" s="14" t="s">
        <v>747</v>
      </c>
      <c r="E4" s="14" t="s">
        <v>748</v>
      </c>
      <c r="F4" s="14" t="s">
        <v>749</v>
      </c>
      <c r="G4" s="14" t="s">
        <v>750</v>
      </c>
      <c r="H4" s="16" t="s">
        <v>53</v>
      </c>
      <c r="I4" s="13" t="s">
        <v>54</v>
      </c>
      <c r="J4" s="14"/>
      <c r="K4" s="13"/>
      <c r="L4" s="14"/>
      <c r="M4" s="13"/>
      <c r="N4" s="13"/>
    </row>
    <row r="5" spans="1:14" ht="48" customHeight="1">
      <c r="A5" s="7" t="s">
        <v>751</v>
      </c>
      <c r="B5" s="8" t="s">
        <v>752</v>
      </c>
      <c r="C5" s="8" t="s">
        <v>753</v>
      </c>
      <c r="D5" s="8" t="s">
        <v>754</v>
      </c>
      <c r="E5" s="8" t="s">
        <v>755</v>
      </c>
      <c r="F5" s="8" t="s">
        <v>756</v>
      </c>
      <c r="G5" s="8" t="s">
        <v>757</v>
      </c>
      <c r="H5" s="15" t="s">
        <v>35</v>
      </c>
      <c r="I5" s="7" t="s">
        <v>23</v>
      </c>
      <c r="J5" s="8"/>
      <c r="K5" s="7"/>
      <c r="L5" s="8"/>
      <c r="M5" s="7"/>
      <c r="N5" s="7"/>
    </row>
    <row r="6" spans="1:14" ht="48" customHeight="1">
      <c r="A6" s="13" t="s">
        <v>758</v>
      </c>
      <c r="B6" s="14" t="s">
        <v>759</v>
      </c>
      <c r="C6" s="14" t="s">
        <v>760</v>
      </c>
      <c r="D6" s="14" t="s">
        <v>761</v>
      </c>
      <c r="E6" s="14" t="s">
        <v>762</v>
      </c>
      <c r="F6" s="14" t="s">
        <v>763</v>
      </c>
      <c r="G6" s="14" t="s">
        <v>764</v>
      </c>
      <c r="H6" s="16" t="s">
        <v>53</v>
      </c>
      <c r="I6" s="13" t="s">
        <v>54</v>
      </c>
      <c r="J6" s="14"/>
      <c r="K6" s="13"/>
      <c r="L6" s="14"/>
      <c r="M6" s="13"/>
      <c r="N6" s="13"/>
    </row>
    <row r="7" spans="1:14" ht="48" customHeight="1">
      <c r="A7" s="7" t="s">
        <v>765</v>
      </c>
      <c r="B7" s="8" t="s">
        <v>766</v>
      </c>
      <c r="C7" s="8" t="s">
        <v>767</v>
      </c>
      <c r="D7" s="8" t="s">
        <v>233</v>
      </c>
      <c r="E7" s="8" t="s">
        <v>768</v>
      </c>
      <c r="F7" s="8" t="s">
        <v>769</v>
      </c>
      <c r="G7" s="8" t="s">
        <v>770</v>
      </c>
      <c r="H7" s="16" t="s">
        <v>53</v>
      </c>
      <c r="I7" s="7" t="s">
        <v>54</v>
      </c>
      <c r="J7" s="8"/>
      <c r="K7" s="7"/>
      <c r="L7" s="8"/>
      <c r="M7" s="7"/>
      <c r="N7" s="7"/>
    </row>
    <row r="8" spans="1:14" ht="48" customHeight="1">
      <c r="A8" s="13" t="s">
        <v>771</v>
      </c>
      <c r="B8" s="14" t="s">
        <v>561</v>
      </c>
      <c r="C8" s="14" t="s">
        <v>772</v>
      </c>
      <c r="D8" s="14" t="s">
        <v>233</v>
      </c>
      <c r="E8" s="14" t="s">
        <v>773</v>
      </c>
      <c r="F8" s="14" t="s">
        <v>235</v>
      </c>
      <c r="G8" s="14" t="s">
        <v>774</v>
      </c>
      <c r="H8" s="15" t="s">
        <v>35</v>
      </c>
      <c r="I8" s="13" t="s">
        <v>23</v>
      </c>
      <c r="J8" s="14"/>
      <c r="K8" s="13"/>
      <c r="L8" s="14"/>
      <c r="M8" s="13"/>
      <c r="N8" s="13"/>
    </row>
    <row r="9" spans="1:14" ht="48" customHeight="1">
      <c r="A9" s="7" t="s">
        <v>775</v>
      </c>
      <c r="B9" s="8" t="s">
        <v>776</v>
      </c>
      <c r="C9" s="8" t="s">
        <v>777</v>
      </c>
      <c r="D9" s="8" t="s">
        <v>778</v>
      </c>
      <c r="E9" s="8" t="s">
        <v>779</v>
      </c>
      <c r="F9" s="8" t="s">
        <v>780</v>
      </c>
      <c r="G9" s="8" t="s">
        <v>781</v>
      </c>
      <c r="H9" s="12" t="s">
        <v>22</v>
      </c>
      <c r="I9" s="7" t="s">
        <v>23</v>
      </c>
      <c r="J9" s="8"/>
      <c r="K9" s="7"/>
      <c r="L9" s="8"/>
      <c r="M9" s="7"/>
      <c r="N9" s="7"/>
    </row>
    <row r="10" spans="1:14" ht="48" customHeight="1">
      <c r="A10" s="13" t="s">
        <v>782</v>
      </c>
      <c r="B10" s="14" t="s">
        <v>776</v>
      </c>
      <c r="C10" s="14" t="s">
        <v>783</v>
      </c>
      <c r="D10" s="14" t="s">
        <v>784</v>
      </c>
      <c r="E10" s="14" t="s">
        <v>785</v>
      </c>
      <c r="F10" s="14" t="s">
        <v>786</v>
      </c>
      <c r="G10" s="14" t="s">
        <v>787</v>
      </c>
      <c r="H10" s="15" t="s">
        <v>35</v>
      </c>
      <c r="I10" s="13" t="s">
        <v>54</v>
      </c>
      <c r="J10" s="14"/>
      <c r="K10" s="13"/>
      <c r="L10" s="14"/>
      <c r="M10" s="13"/>
      <c r="N10" s="13"/>
    </row>
    <row r="11" spans="1:14" ht="48" customHeight="1">
      <c r="A11" s="7" t="s">
        <v>788</v>
      </c>
      <c r="B11" s="8" t="s">
        <v>789</v>
      </c>
      <c r="C11" s="8" t="s">
        <v>790</v>
      </c>
      <c r="D11" s="8" t="s">
        <v>791</v>
      </c>
      <c r="E11" s="8" t="s">
        <v>792</v>
      </c>
      <c r="F11" s="8" t="s">
        <v>793</v>
      </c>
      <c r="G11" s="8" t="s">
        <v>794</v>
      </c>
      <c r="H11" s="15" t="s">
        <v>35</v>
      </c>
      <c r="I11" s="7" t="s">
        <v>23</v>
      </c>
      <c r="J11" s="8"/>
      <c r="K11" s="7"/>
      <c r="L11" s="8"/>
      <c r="M11" s="7"/>
      <c r="N11" s="7"/>
    </row>
    <row r="12" spans="1:14" ht="48" customHeight="1">
      <c r="A12" s="13" t="s">
        <v>795</v>
      </c>
      <c r="B12" s="14" t="s">
        <v>796</v>
      </c>
      <c r="C12" s="14" t="s">
        <v>797</v>
      </c>
      <c r="D12" s="14" t="s">
        <v>798</v>
      </c>
      <c r="E12" s="14" t="s">
        <v>799</v>
      </c>
      <c r="F12" s="14" t="s">
        <v>800</v>
      </c>
      <c r="G12" s="14" t="s">
        <v>801</v>
      </c>
      <c r="H12" s="16" t="s">
        <v>53</v>
      </c>
      <c r="I12" s="13" t="s">
        <v>54</v>
      </c>
      <c r="J12" s="14"/>
      <c r="K12" s="13"/>
      <c r="L12" s="14"/>
      <c r="M12" s="13"/>
      <c r="N12" s="13"/>
    </row>
    <row r="13" spans="1:14" ht="48" customHeight="1">
      <c r="A13" s="7" t="s">
        <v>802</v>
      </c>
      <c r="B13" s="8" t="s">
        <v>803</v>
      </c>
      <c r="C13" s="8" t="s">
        <v>804</v>
      </c>
      <c r="D13" s="8" t="s">
        <v>805</v>
      </c>
      <c r="E13" s="8" t="s">
        <v>806</v>
      </c>
      <c r="F13" s="8" t="s">
        <v>807</v>
      </c>
      <c r="G13" s="8" t="s">
        <v>808</v>
      </c>
      <c r="H13" s="12" t="s">
        <v>22</v>
      </c>
      <c r="I13" s="7" t="s">
        <v>23</v>
      </c>
      <c r="J13" s="8"/>
      <c r="K13" s="7"/>
      <c r="L13" s="8"/>
      <c r="M13" s="7"/>
      <c r="N13" s="7"/>
    </row>
    <row r="14" spans="1:14" ht="48" customHeight="1">
      <c r="A14" s="13" t="s">
        <v>809</v>
      </c>
      <c r="B14" s="14" t="s">
        <v>810</v>
      </c>
      <c r="C14" s="14" t="s">
        <v>811</v>
      </c>
      <c r="D14" s="14" t="s">
        <v>812</v>
      </c>
      <c r="E14" s="14" t="s">
        <v>813</v>
      </c>
      <c r="F14" s="14" t="s">
        <v>814</v>
      </c>
      <c r="G14" s="14" t="s">
        <v>815</v>
      </c>
      <c r="H14" s="15" t="s">
        <v>35</v>
      </c>
      <c r="I14" s="13" t="s">
        <v>23</v>
      </c>
      <c r="J14" s="14"/>
      <c r="K14" s="13"/>
      <c r="L14" s="14"/>
      <c r="M14" s="13"/>
      <c r="N14" s="13"/>
    </row>
    <row r="15" spans="1:14" ht="48" customHeight="1">
      <c r="A15" s="7" t="s">
        <v>816</v>
      </c>
      <c r="B15" s="8" t="s">
        <v>817</v>
      </c>
      <c r="C15" s="8" t="s">
        <v>818</v>
      </c>
      <c r="D15" s="8" t="s">
        <v>819</v>
      </c>
      <c r="E15" s="8" t="s">
        <v>820</v>
      </c>
      <c r="F15" s="8" t="s">
        <v>821</v>
      </c>
      <c r="G15" s="8" t="s">
        <v>822</v>
      </c>
      <c r="H15" s="15" t="s">
        <v>35</v>
      </c>
      <c r="I15" s="7" t="s">
        <v>54</v>
      </c>
      <c r="J15" s="8"/>
      <c r="K15" s="7"/>
      <c r="L15" s="8"/>
      <c r="M15" s="7"/>
      <c r="N15" s="7"/>
    </row>
    <row r="16" spans="1:14" ht="48" customHeight="1">
      <c r="A16" s="13" t="s">
        <v>823</v>
      </c>
      <c r="B16" s="14" t="s">
        <v>824</v>
      </c>
      <c r="C16" s="14" t="s">
        <v>825</v>
      </c>
      <c r="D16" s="14" t="s">
        <v>826</v>
      </c>
      <c r="E16" s="14" t="s">
        <v>827</v>
      </c>
      <c r="F16" s="14" t="s">
        <v>828</v>
      </c>
      <c r="G16" s="14" t="s">
        <v>829</v>
      </c>
      <c r="H16" s="16" t="s">
        <v>53</v>
      </c>
      <c r="I16" s="13" t="s">
        <v>54</v>
      </c>
      <c r="J16" s="14"/>
      <c r="K16" s="13"/>
      <c r="L16" s="14"/>
      <c r="M16" s="13"/>
      <c r="N16" s="13"/>
    </row>
    <row r="17" spans="1:14" ht="48" customHeight="1">
      <c r="A17" s="7" t="s">
        <v>830</v>
      </c>
      <c r="B17" s="8" t="s">
        <v>831</v>
      </c>
      <c r="C17" s="8" t="s">
        <v>832</v>
      </c>
      <c r="D17" s="8" t="s">
        <v>833</v>
      </c>
      <c r="E17" s="8" t="s">
        <v>834</v>
      </c>
      <c r="F17" s="8" t="s">
        <v>835</v>
      </c>
      <c r="G17" s="8" t="s">
        <v>836</v>
      </c>
      <c r="H17" s="16" t="s">
        <v>53</v>
      </c>
      <c r="I17" s="7" t="s">
        <v>54</v>
      </c>
      <c r="J17" s="8"/>
      <c r="K17" s="7"/>
      <c r="L17" s="8"/>
      <c r="M17" s="7"/>
      <c r="N17" s="7"/>
    </row>
    <row r="18" spans="1:14" ht="48" customHeight="1">
      <c r="A18" s="13" t="s">
        <v>837</v>
      </c>
      <c r="B18" s="14" t="s">
        <v>838</v>
      </c>
      <c r="C18" s="14" t="s">
        <v>839</v>
      </c>
      <c r="D18" s="14" t="s">
        <v>840</v>
      </c>
      <c r="E18" s="14" t="s">
        <v>841</v>
      </c>
      <c r="F18" s="14" t="s">
        <v>842</v>
      </c>
      <c r="G18" s="14" t="s">
        <v>843</v>
      </c>
      <c r="H18" s="16" t="s">
        <v>53</v>
      </c>
      <c r="I18" s="13" t="s">
        <v>54</v>
      </c>
      <c r="J18" s="14"/>
      <c r="K18" s="13"/>
      <c r="L18" s="14"/>
      <c r="M18" s="13"/>
      <c r="N18" s="13"/>
    </row>
    <row r="19" spans="1:14" ht="48" customHeight="1">
      <c r="A19" s="7" t="s">
        <v>844</v>
      </c>
      <c r="B19" s="8" t="s">
        <v>845</v>
      </c>
      <c r="C19" s="8" t="s">
        <v>846</v>
      </c>
      <c r="D19" s="8" t="s">
        <v>826</v>
      </c>
      <c r="E19" s="8" t="s">
        <v>847</v>
      </c>
      <c r="F19" s="8" t="s">
        <v>848</v>
      </c>
      <c r="G19" s="8" t="s">
        <v>849</v>
      </c>
      <c r="H19" s="16" t="s">
        <v>53</v>
      </c>
      <c r="I19" s="7" t="s">
        <v>54</v>
      </c>
      <c r="J19" s="8"/>
      <c r="K19" s="7"/>
      <c r="L19" s="8"/>
      <c r="M19" s="7"/>
      <c r="N19" s="7"/>
    </row>
    <row r="20" spans="1:14" ht="48" customHeight="1">
      <c r="A20" s="13" t="s">
        <v>850</v>
      </c>
      <c r="B20" s="14" t="s">
        <v>851</v>
      </c>
      <c r="C20" s="14" t="s">
        <v>852</v>
      </c>
      <c r="D20" s="14" t="s">
        <v>853</v>
      </c>
      <c r="E20" s="14" t="s">
        <v>854</v>
      </c>
      <c r="F20" s="14" t="s">
        <v>855</v>
      </c>
      <c r="G20" s="14" t="s">
        <v>856</v>
      </c>
      <c r="H20" s="16" t="s">
        <v>53</v>
      </c>
      <c r="I20" s="13" t="s">
        <v>54</v>
      </c>
      <c r="J20" s="14"/>
      <c r="K20" s="13"/>
      <c r="L20" s="14"/>
      <c r="M20" s="13"/>
      <c r="N20" s="13"/>
    </row>
    <row r="21" spans="1:14" ht="48" customHeight="1">
      <c r="A21" s="7" t="s">
        <v>857</v>
      </c>
      <c r="B21" s="8" t="s">
        <v>858</v>
      </c>
      <c r="C21" s="8" t="s">
        <v>859</v>
      </c>
      <c r="D21" s="8" t="s">
        <v>860</v>
      </c>
      <c r="E21" s="8" t="s">
        <v>861</v>
      </c>
      <c r="F21" s="8" t="s">
        <v>862</v>
      </c>
      <c r="G21" s="8" t="s">
        <v>863</v>
      </c>
      <c r="H21" s="15" t="s">
        <v>35</v>
      </c>
      <c r="I21" s="7" t="s">
        <v>54</v>
      </c>
      <c r="J21" s="8"/>
      <c r="K21" s="7"/>
      <c r="L21" s="8"/>
      <c r="M21" s="7"/>
      <c r="N21" s="7"/>
    </row>
    <row r="22" spans="1:14" ht="48" customHeight="1">
      <c r="A22" s="13" t="s">
        <v>864</v>
      </c>
      <c r="B22" s="14" t="s">
        <v>858</v>
      </c>
      <c r="C22" s="14" t="s">
        <v>865</v>
      </c>
      <c r="D22" s="14" t="s">
        <v>866</v>
      </c>
      <c r="E22" s="14" t="s">
        <v>867</v>
      </c>
      <c r="F22" s="14" t="s">
        <v>390</v>
      </c>
      <c r="G22" s="14" t="s">
        <v>868</v>
      </c>
      <c r="H22" s="16" t="s">
        <v>53</v>
      </c>
      <c r="I22" s="13" t="s">
        <v>54</v>
      </c>
      <c r="J22" s="14"/>
      <c r="K22" s="13"/>
      <c r="L22" s="14"/>
      <c r="M22" s="13"/>
      <c r="N22" s="13"/>
    </row>
    <row r="23" spans="1:14" ht="48" customHeight="1">
      <c r="A23" s="7" t="s">
        <v>869</v>
      </c>
      <c r="B23" s="8" t="s">
        <v>870</v>
      </c>
      <c r="C23" s="8" t="s">
        <v>871</v>
      </c>
      <c r="D23" s="8" t="s">
        <v>872</v>
      </c>
      <c r="E23" s="8" t="s">
        <v>873</v>
      </c>
      <c r="F23" s="8" t="s">
        <v>874</v>
      </c>
      <c r="G23" s="8" t="s">
        <v>875</v>
      </c>
      <c r="H23" s="15" t="s">
        <v>35</v>
      </c>
      <c r="I23" s="7" t="s">
        <v>23</v>
      </c>
      <c r="J23" s="8"/>
      <c r="K23" s="7"/>
      <c r="L23" s="8"/>
      <c r="M23" s="7"/>
      <c r="N23" s="7"/>
    </row>
    <row r="24" spans="1:14" ht="48" customHeight="1">
      <c r="A24" s="13" t="s">
        <v>876</v>
      </c>
      <c r="B24" s="14" t="s">
        <v>877</v>
      </c>
      <c r="C24" s="14" t="s">
        <v>878</v>
      </c>
      <c r="D24" s="14" t="s">
        <v>879</v>
      </c>
      <c r="E24" s="14" t="s">
        <v>880</v>
      </c>
      <c r="F24" s="14" t="s">
        <v>397</v>
      </c>
      <c r="G24" s="14" t="s">
        <v>881</v>
      </c>
      <c r="H24" s="17" t="s">
        <v>97</v>
      </c>
      <c r="I24" s="13" t="s">
        <v>98</v>
      </c>
      <c r="J24" s="14"/>
      <c r="K24" s="13"/>
      <c r="L24" s="14"/>
      <c r="M24" s="13"/>
      <c r="N24" s="13"/>
    </row>
    <row r="25" spans="1:14" ht="48" customHeight="1">
      <c r="A25" s="7" t="s">
        <v>882</v>
      </c>
      <c r="B25" s="8" t="s">
        <v>883</v>
      </c>
      <c r="C25" s="8" t="s">
        <v>884</v>
      </c>
      <c r="D25" s="8" t="s">
        <v>885</v>
      </c>
      <c r="E25" s="8" t="s">
        <v>886</v>
      </c>
      <c r="F25" s="8" t="s">
        <v>422</v>
      </c>
      <c r="G25" s="8" t="s">
        <v>887</v>
      </c>
      <c r="H25" s="17" t="s">
        <v>97</v>
      </c>
      <c r="I25" s="7" t="s">
        <v>98</v>
      </c>
      <c r="J25" s="8"/>
      <c r="K25" s="7"/>
      <c r="L25" s="8"/>
      <c r="M25" s="7"/>
      <c r="N25" s="7"/>
    </row>
    <row r="26" spans="1:14" ht="48" customHeight="1">
      <c r="A26" s="13" t="s">
        <v>888</v>
      </c>
      <c r="B26" s="14" t="s">
        <v>889</v>
      </c>
      <c r="C26" s="14" t="s">
        <v>890</v>
      </c>
      <c r="D26" s="14" t="s">
        <v>891</v>
      </c>
      <c r="E26" s="14" t="s">
        <v>892</v>
      </c>
      <c r="F26" s="14" t="s">
        <v>893</v>
      </c>
      <c r="G26" s="14" t="s">
        <v>894</v>
      </c>
      <c r="H26" s="16" t="s">
        <v>53</v>
      </c>
      <c r="I26" s="13" t="s">
        <v>54</v>
      </c>
      <c r="J26" s="14"/>
      <c r="K26" s="13"/>
      <c r="L26" s="14"/>
      <c r="M26" s="13"/>
      <c r="N26" s="13"/>
    </row>
    <row r="27" spans="1:14" ht="48" customHeight="1">
      <c r="A27" s="7" t="s">
        <v>895</v>
      </c>
      <c r="B27" s="8" t="s">
        <v>896</v>
      </c>
      <c r="C27" s="8" t="s">
        <v>897</v>
      </c>
      <c r="D27" s="8" t="s">
        <v>898</v>
      </c>
      <c r="E27" s="8" t="s">
        <v>899</v>
      </c>
      <c r="F27" s="8" t="s">
        <v>900</v>
      </c>
      <c r="G27" s="8" t="s">
        <v>901</v>
      </c>
      <c r="H27" s="12" t="s">
        <v>22</v>
      </c>
      <c r="I27" s="7" t="s">
        <v>23</v>
      </c>
      <c r="J27" s="8"/>
      <c r="K27" s="7"/>
      <c r="L27" s="8"/>
      <c r="M27" s="7"/>
      <c r="N27" s="7"/>
    </row>
  </sheetData>
  <mergeCells count="1">
    <mergeCell ref="A1:N1"/>
  </mergeCells>
  <dataValidations count="1">
    <dataValidation type="list" allowBlank="1" showInputMessage="1" showErrorMessage="1" promptTitle="Trạng thái Test" prompt="Chọn: Pass, Fail, Blocked hoặc Untested" sqref="K3:K27">
      <formula1>"Pass,Fail,Blocked,Untested"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D97706"/>
  </sheetPr>
  <dimension ref="A1:N22"/>
  <sheetViews>
    <sheetView workbookViewId="0">
      <pane xSplit="2" ySplit="2" topLeftCell="C3" activePane="bottomRight" state="frozen"/>
      <selection pane="topRight" activeCell="C1" sqref="C1"/>
      <selection pane="bottomLeft" activeCell="A3" sqref="A3"/>
      <selection pane="bottomRight"/>
    </sheetView>
  </sheetViews>
  <sheetFormatPr defaultRowHeight="15"/>
  <cols>
    <col min="1" max="1" width="14.7109375" customWidth="1"/>
    <col min="2" max="2" width="20.7109375" customWidth="1"/>
    <col min="3" max="3" width="30.7109375" customWidth="1"/>
    <col min="4" max="4" width="25.7109375" customWidth="1"/>
    <col min="5" max="5" width="34.7109375" customWidth="1"/>
    <col min="6" max="6" width="24.7109375" customWidth="1"/>
    <col min="7" max="7" width="34.7109375" customWidth="1"/>
    <col min="8" max="8" width="12.7109375" customWidth="1"/>
    <col min="9" max="9" width="10.7109375" customWidth="1"/>
    <col min="10" max="10" width="26.7109375" customWidth="1"/>
    <col min="11" max="11" width="12.7109375" customWidth="1"/>
    <col min="12" max="12" width="22.7109375" customWidth="1"/>
    <col min="13" max="13" width="14.7109375" customWidth="1"/>
    <col min="14" max="14" width="13.7109375" customWidth="1"/>
  </cols>
  <sheetData>
    <row r="1" spans="1:14" ht="32" customHeight="1">
      <c r="A1" s="1" t="s">
        <v>902</v>
      </c>
      <c r="B1" s="1"/>
      <c r="C1" s="1"/>
      <c r="D1" s="1"/>
      <c r="E1" s="1"/>
      <c r="F1" s="1"/>
      <c r="G1" s="1"/>
      <c r="H1" s="1"/>
      <c r="I1" s="1"/>
      <c r="J1" s="1"/>
      <c r="K1" s="1"/>
      <c r="L1" s="1"/>
      <c r="M1" s="1"/>
      <c r="N1" s="1"/>
    </row>
    <row r="2" spans="1:14" ht="28" customHeight="1">
      <c r="A2" s="6" t="s">
        <v>1</v>
      </c>
      <c r="B2" s="6" t="s">
        <v>2</v>
      </c>
      <c r="C2" s="6" t="s">
        <v>3</v>
      </c>
      <c r="D2" s="6" t="s">
        <v>4</v>
      </c>
      <c r="E2" s="6" t="s">
        <v>5</v>
      </c>
      <c r="F2" s="6" t="s">
        <v>6</v>
      </c>
      <c r="G2" s="6" t="s">
        <v>7</v>
      </c>
      <c r="H2" s="6" t="s">
        <v>8</v>
      </c>
      <c r="I2" s="6" t="s">
        <v>9</v>
      </c>
      <c r="J2" s="6" t="s">
        <v>10</v>
      </c>
      <c r="K2" s="6" t="s">
        <v>11</v>
      </c>
      <c r="L2" s="6" t="s">
        <v>12</v>
      </c>
      <c r="M2" s="6" t="s">
        <v>13</v>
      </c>
      <c r="N2" s="6" t="s">
        <v>14</v>
      </c>
    </row>
    <row r="3" spans="1:14" ht="48" customHeight="1">
      <c r="A3" s="7" t="s">
        <v>903</v>
      </c>
      <c r="B3" s="8" t="s">
        <v>904</v>
      </c>
      <c r="C3" s="8" t="s">
        <v>905</v>
      </c>
      <c r="D3" s="8" t="s">
        <v>906</v>
      </c>
      <c r="E3" s="8" t="s">
        <v>907</v>
      </c>
      <c r="F3" s="8" t="s">
        <v>743</v>
      </c>
      <c r="G3" s="8" t="s">
        <v>908</v>
      </c>
      <c r="H3" s="15" t="s">
        <v>35</v>
      </c>
      <c r="I3" s="7" t="s">
        <v>23</v>
      </c>
      <c r="J3" s="8"/>
      <c r="K3" s="7"/>
      <c r="L3" s="8"/>
      <c r="M3" s="7"/>
      <c r="N3" s="7"/>
    </row>
    <row r="4" spans="1:14" ht="48" customHeight="1">
      <c r="A4" s="13" t="s">
        <v>909</v>
      </c>
      <c r="B4" s="14" t="s">
        <v>904</v>
      </c>
      <c r="C4" s="14" t="s">
        <v>910</v>
      </c>
      <c r="D4" s="14" t="s">
        <v>911</v>
      </c>
      <c r="E4" s="14" t="s">
        <v>912</v>
      </c>
      <c r="F4" s="14" t="s">
        <v>913</v>
      </c>
      <c r="G4" s="14" t="s">
        <v>914</v>
      </c>
      <c r="H4" s="15" t="s">
        <v>35</v>
      </c>
      <c r="I4" s="13" t="s">
        <v>54</v>
      </c>
      <c r="J4" s="14"/>
      <c r="K4" s="13"/>
      <c r="L4" s="14"/>
      <c r="M4" s="13"/>
      <c r="N4" s="13"/>
    </row>
    <row r="5" spans="1:14" ht="48" customHeight="1">
      <c r="A5" s="7" t="s">
        <v>915</v>
      </c>
      <c r="B5" s="8" t="s">
        <v>904</v>
      </c>
      <c r="C5" s="8" t="s">
        <v>916</v>
      </c>
      <c r="D5" s="8" t="s">
        <v>917</v>
      </c>
      <c r="E5" s="8" t="s">
        <v>918</v>
      </c>
      <c r="F5" s="8" t="s">
        <v>749</v>
      </c>
      <c r="G5" s="8" t="s">
        <v>919</v>
      </c>
      <c r="H5" s="16" t="s">
        <v>53</v>
      </c>
      <c r="I5" s="7" t="s">
        <v>54</v>
      </c>
      <c r="J5" s="8"/>
      <c r="K5" s="7"/>
      <c r="L5" s="8"/>
      <c r="M5" s="7"/>
      <c r="N5" s="7"/>
    </row>
    <row r="6" spans="1:14" ht="48" customHeight="1">
      <c r="A6" s="13" t="s">
        <v>920</v>
      </c>
      <c r="B6" s="14" t="s">
        <v>921</v>
      </c>
      <c r="C6" s="14" t="s">
        <v>922</v>
      </c>
      <c r="D6" s="14" t="s">
        <v>923</v>
      </c>
      <c r="E6" s="14" t="s">
        <v>924</v>
      </c>
      <c r="F6" s="14" t="s">
        <v>925</v>
      </c>
      <c r="G6" s="14" t="s">
        <v>926</v>
      </c>
      <c r="H6" s="15" t="s">
        <v>35</v>
      </c>
      <c r="I6" s="13" t="s">
        <v>23</v>
      </c>
      <c r="J6" s="14"/>
      <c r="K6" s="13"/>
      <c r="L6" s="14"/>
      <c r="M6" s="13"/>
      <c r="N6" s="13"/>
    </row>
    <row r="7" spans="1:14" ht="48" customHeight="1">
      <c r="A7" s="7" t="s">
        <v>927</v>
      </c>
      <c r="B7" s="8" t="s">
        <v>921</v>
      </c>
      <c r="C7" s="8" t="s">
        <v>928</v>
      </c>
      <c r="D7" s="8" t="s">
        <v>929</v>
      </c>
      <c r="E7" s="8" t="s">
        <v>930</v>
      </c>
      <c r="F7" s="8" t="s">
        <v>931</v>
      </c>
      <c r="G7" s="8" t="s">
        <v>932</v>
      </c>
      <c r="H7" s="12" t="s">
        <v>22</v>
      </c>
      <c r="I7" s="7" t="s">
        <v>23</v>
      </c>
      <c r="J7" s="8"/>
      <c r="K7" s="7"/>
      <c r="L7" s="8"/>
      <c r="M7" s="7"/>
      <c r="N7" s="7"/>
    </row>
    <row r="8" spans="1:14" ht="48" customHeight="1">
      <c r="A8" s="13" t="s">
        <v>933</v>
      </c>
      <c r="B8" s="14" t="s">
        <v>934</v>
      </c>
      <c r="C8" s="14" t="s">
        <v>935</v>
      </c>
      <c r="D8" s="14" t="s">
        <v>936</v>
      </c>
      <c r="E8" s="14" t="s">
        <v>937</v>
      </c>
      <c r="F8" s="14" t="s">
        <v>938</v>
      </c>
      <c r="G8" s="14" t="s">
        <v>939</v>
      </c>
      <c r="H8" s="15" t="s">
        <v>35</v>
      </c>
      <c r="I8" s="13" t="s">
        <v>23</v>
      </c>
      <c r="J8" s="14"/>
      <c r="K8" s="13"/>
      <c r="L8" s="14"/>
      <c r="M8" s="13"/>
      <c r="N8" s="13"/>
    </row>
    <row r="9" spans="1:14" ht="48" customHeight="1">
      <c r="A9" s="7" t="s">
        <v>940</v>
      </c>
      <c r="B9" s="8" t="s">
        <v>941</v>
      </c>
      <c r="C9" s="8" t="s">
        <v>942</v>
      </c>
      <c r="D9" s="8" t="s">
        <v>943</v>
      </c>
      <c r="E9" s="8" t="s">
        <v>944</v>
      </c>
      <c r="F9" s="8" t="s">
        <v>945</v>
      </c>
      <c r="G9" s="8" t="s">
        <v>946</v>
      </c>
      <c r="H9" s="15" t="s">
        <v>35</v>
      </c>
      <c r="I9" s="7" t="s">
        <v>23</v>
      </c>
      <c r="J9" s="8"/>
      <c r="K9" s="7"/>
      <c r="L9" s="8"/>
      <c r="M9" s="7"/>
      <c r="N9" s="7"/>
    </row>
    <row r="10" spans="1:14" ht="48" customHeight="1">
      <c r="A10" s="13" t="s">
        <v>947</v>
      </c>
      <c r="B10" s="14" t="s">
        <v>948</v>
      </c>
      <c r="C10" s="14" t="s">
        <v>949</v>
      </c>
      <c r="D10" s="14" t="s">
        <v>950</v>
      </c>
      <c r="E10" s="14" t="s">
        <v>951</v>
      </c>
      <c r="F10" s="14" t="s">
        <v>952</v>
      </c>
      <c r="G10" s="14" t="s">
        <v>953</v>
      </c>
      <c r="H10" s="16" t="s">
        <v>53</v>
      </c>
      <c r="I10" s="13" t="s">
        <v>54</v>
      </c>
      <c r="J10" s="14"/>
      <c r="K10" s="13"/>
      <c r="L10" s="14"/>
      <c r="M10" s="13"/>
      <c r="N10" s="13"/>
    </row>
    <row r="11" spans="1:14" ht="48" customHeight="1">
      <c r="A11" s="7" t="s">
        <v>954</v>
      </c>
      <c r="B11" s="8" t="s">
        <v>955</v>
      </c>
      <c r="C11" s="8" t="s">
        <v>956</v>
      </c>
      <c r="D11" s="8" t="s">
        <v>957</v>
      </c>
      <c r="E11" s="8" t="s">
        <v>958</v>
      </c>
      <c r="F11" s="8" t="s">
        <v>959</v>
      </c>
      <c r="G11" s="8" t="s">
        <v>960</v>
      </c>
      <c r="H11" s="15" t="s">
        <v>35</v>
      </c>
      <c r="I11" s="7" t="s">
        <v>23</v>
      </c>
      <c r="J11" s="8"/>
      <c r="K11" s="7"/>
      <c r="L11" s="8"/>
      <c r="M11" s="7"/>
      <c r="N11" s="7"/>
    </row>
    <row r="12" spans="1:14" ht="48" customHeight="1">
      <c r="A12" s="13" t="s">
        <v>961</v>
      </c>
      <c r="B12" s="14" t="s">
        <v>955</v>
      </c>
      <c r="C12" s="14" t="s">
        <v>962</v>
      </c>
      <c r="D12" s="14" t="s">
        <v>963</v>
      </c>
      <c r="E12" s="14" t="s">
        <v>964</v>
      </c>
      <c r="F12" s="14" t="s">
        <v>965</v>
      </c>
      <c r="G12" s="14" t="s">
        <v>966</v>
      </c>
      <c r="H12" s="15" t="s">
        <v>35</v>
      </c>
      <c r="I12" s="13" t="s">
        <v>54</v>
      </c>
      <c r="J12" s="14"/>
      <c r="K12" s="13"/>
      <c r="L12" s="14"/>
      <c r="M12" s="13"/>
      <c r="N12" s="13"/>
    </row>
    <row r="13" spans="1:14" ht="48" customHeight="1">
      <c r="A13" s="7" t="s">
        <v>967</v>
      </c>
      <c r="B13" s="8" t="s">
        <v>968</v>
      </c>
      <c r="C13" s="8" t="s">
        <v>969</v>
      </c>
      <c r="D13" s="8" t="s">
        <v>970</v>
      </c>
      <c r="E13" s="8" t="s">
        <v>971</v>
      </c>
      <c r="F13" s="8" t="s">
        <v>972</v>
      </c>
      <c r="G13" s="8" t="s">
        <v>973</v>
      </c>
      <c r="H13" s="15" t="s">
        <v>35</v>
      </c>
      <c r="I13" s="7" t="s">
        <v>54</v>
      </c>
      <c r="J13" s="8"/>
      <c r="K13" s="7"/>
      <c r="L13" s="8"/>
      <c r="M13" s="7"/>
      <c r="N13" s="7"/>
    </row>
    <row r="14" spans="1:14" ht="48" customHeight="1">
      <c r="A14" s="13" t="s">
        <v>974</v>
      </c>
      <c r="B14" s="14" t="s">
        <v>975</v>
      </c>
      <c r="C14" s="14" t="s">
        <v>976</v>
      </c>
      <c r="D14" s="14" t="s">
        <v>977</v>
      </c>
      <c r="E14" s="14" t="s">
        <v>978</v>
      </c>
      <c r="F14" s="14" t="s">
        <v>979</v>
      </c>
      <c r="G14" s="14" t="s">
        <v>980</v>
      </c>
      <c r="H14" s="16" t="s">
        <v>53</v>
      </c>
      <c r="I14" s="13" t="s">
        <v>98</v>
      </c>
      <c r="J14" s="14"/>
      <c r="K14" s="13"/>
      <c r="L14" s="14"/>
      <c r="M14" s="13"/>
      <c r="N14" s="13"/>
    </row>
    <row r="15" spans="1:14" ht="48" customHeight="1">
      <c r="A15" s="7" t="s">
        <v>981</v>
      </c>
      <c r="B15" s="8" t="s">
        <v>982</v>
      </c>
      <c r="C15" s="8" t="s">
        <v>983</v>
      </c>
      <c r="D15" s="8" t="s">
        <v>984</v>
      </c>
      <c r="E15" s="8" t="s">
        <v>985</v>
      </c>
      <c r="F15" s="8" t="s">
        <v>390</v>
      </c>
      <c r="G15" s="8" t="s">
        <v>986</v>
      </c>
      <c r="H15" s="16" t="s">
        <v>53</v>
      </c>
      <c r="I15" s="7" t="s">
        <v>54</v>
      </c>
      <c r="J15" s="8"/>
      <c r="K15" s="7"/>
      <c r="L15" s="8"/>
      <c r="M15" s="7"/>
      <c r="N15" s="7"/>
    </row>
    <row r="16" spans="1:14" ht="48" customHeight="1">
      <c r="A16" s="13" t="s">
        <v>987</v>
      </c>
      <c r="B16" s="14" t="s">
        <v>988</v>
      </c>
      <c r="C16" s="14" t="s">
        <v>989</v>
      </c>
      <c r="D16" s="14" t="s">
        <v>990</v>
      </c>
      <c r="E16" s="14" t="s">
        <v>991</v>
      </c>
      <c r="F16" s="14" t="s">
        <v>992</v>
      </c>
      <c r="G16" s="14" t="s">
        <v>993</v>
      </c>
      <c r="H16" s="15" t="s">
        <v>35</v>
      </c>
      <c r="I16" s="13" t="s">
        <v>23</v>
      </c>
      <c r="J16" s="14"/>
      <c r="K16" s="13"/>
      <c r="L16" s="14"/>
      <c r="M16" s="13"/>
      <c r="N16" s="13"/>
    </row>
    <row r="17" spans="1:14" ht="48" customHeight="1">
      <c r="A17" s="7" t="s">
        <v>994</v>
      </c>
      <c r="B17" s="8" t="s">
        <v>995</v>
      </c>
      <c r="C17" s="8" t="s">
        <v>996</v>
      </c>
      <c r="D17" s="8" t="s">
        <v>997</v>
      </c>
      <c r="E17" s="8" t="s">
        <v>998</v>
      </c>
      <c r="F17" s="8" t="s">
        <v>999</v>
      </c>
      <c r="G17" s="8" t="s">
        <v>1000</v>
      </c>
      <c r="H17" s="12" t="s">
        <v>22</v>
      </c>
      <c r="I17" s="7" t="s">
        <v>23</v>
      </c>
      <c r="J17" s="8"/>
      <c r="K17" s="7"/>
      <c r="L17" s="8"/>
      <c r="M17" s="7"/>
      <c r="N17" s="7"/>
    </row>
    <row r="18" spans="1:14" ht="48" customHeight="1">
      <c r="A18" s="13" t="s">
        <v>1001</v>
      </c>
      <c r="B18" s="14" t="s">
        <v>1002</v>
      </c>
      <c r="C18" s="14" t="s">
        <v>1003</v>
      </c>
      <c r="D18" s="14" t="s">
        <v>1004</v>
      </c>
      <c r="E18" s="14" t="s">
        <v>1005</v>
      </c>
      <c r="F18" s="14" t="s">
        <v>1006</v>
      </c>
      <c r="G18" s="14" t="s">
        <v>1007</v>
      </c>
      <c r="H18" s="15" t="s">
        <v>35</v>
      </c>
      <c r="I18" s="13" t="s">
        <v>54</v>
      </c>
      <c r="J18" s="14"/>
      <c r="K18" s="13"/>
      <c r="L18" s="14"/>
      <c r="M18" s="13"/>
      <c r="N18" s="13"/>
    </row>
    <row r="19" spans="1:14" ht="48" customHeight="1">
      <c r="A19" s="7" t="s">
        <v>1008</v>
      </c>
      <c r="B19" s="8" t="s">
        <v>1009</v>
      </c>
      <c r="C19" s="8" t="s">
        <v>1010</v>
      </c>
      <c r="D19" s="8" t="s">
        <v>1011</v>
      </c>
      <c r="E19" s="8" t="s">
        <v>1012</v>
      </c>
      <c r="F19" s="8" t="s">
        <v>397</v>
      </c>
      <c r="G19" s="8" t="s">
        <v>1013</v>
      </c>
      <c r="H19" s="17" t="s">
        <v>97</v>
      </c>
      <c r="I19" s="7" t="s">
        <v>98</v>
      </c>
      <c r="J19" s="8"/>
      <c r="K19" s="7"/>
      <c r="L19" s="8"/>
      <c r="M19" s="7"/>
      <c r="N19" s="7"/>
    </row>
    <row r="20" spans="1:14" ht="48" customHeight="1">
      <c r="A20" s="13" t="s">
        <v>1014</v>
      </c>
      <c r="B20" s="14" t="s">
        <v>1015</v>
      </c>
      <c r="C20" s="14" t="s">
        <v>1016</v>
      </c>
      <c r="D20" s="14" t="s">
        <v>997</v>
      </c>
      <c r="E20" s="14" t="s">
        <v>1017</v>
      </c>
      <c r="F20" s="14" t="s">
        <v>422</v>
      </c>
      <c r="G20" s="14" t="s">
        <v>1018</v>
      </c>
      <c r="H20" s="17" t="s">
        <v>97</v>
      </c>
      <c r="I20" s="13" t="s">
        <v>98</v>
      </c>
      <c r="J20" s="14"/>
      <c r="K20" s="13"/>
      <c r="L20" s="14"/>
      <c r="M20" s="13"/>
      <c r="N20" s="13"/>
    </row>
    <row r="21" spans="1:14" ht="48" customHeight="1">
      <c r="A21" s="7" t="s">
        <v>1019</v>
      </c>
      <c r="B21" s="8" t="s">
        <v>1020</v>
      </c>
      <c r="C21" s="8" t="s">
        <v>1021</v>
      </c>
      <c r="D21" s="8" t="s">
        <v>891</v>
      </c>
      <c r="E21" s="8" t="s">
        <v>1022</v>
      </c>
      <c r="F21" s="8" t="s">
        <v>893</v>
      </c>
      <c r="G21" s="8" t="s">
        <v>1023</v>
      </c>
      <c r="H21" s="16" t="s">
        <v>53</v>
      </c>
      <c r="I21" s="7" t="s">
        <v>54</v>
      </c>
      <c r="J21" s="8"/>
      <c r="K21" s="7"/>
      <c r="L21" s="8"/>
      <c r="M21" s="7"/>
      <c r="N21" s="7"/>
    </row>
    <row r="22" spans="1:14" ht="48" customHeight="1">
      <c r="A22" s="13" t="s">
        <v>1024</v>
      </c>
      <c r="B22" s="14" t="s">
        <v>1025</v>
      </c>
      <c r="C22" s="14" t="s">
        <v>1026</v>
      </c>
      <c r="D22" s="14" t="s">
        <v>997</v>
      </c>
      <c r="E22" s="14" t="s">
        <v>1027</v>
      </c>
      <c r="F22" s="14" t="s">
        <v>1028</v>
      </c>
      <c r="G22" s="14" t="s">
        <v>1029</v>
      </c>
      <c r="H22" s="12" t="s">
        <v>22</v>
      </c>
      <c r="I22" s="13" t="s">
        <v>23</v>
      </c>
      <c r="J22" s="14"/>
      <c r="K22" s="13"/>
      <c r="L22" s="14"/>
      <c r="M22" s="13"/>
      <c r="N22" s="13"/>
    </row>
  </sheetData>
  <mergeCells count="1">
    <mergeCell ref="A1:N1"/>
  </mergeCells>
  <dataValidations count="1">
    <dataValidation type="list" allowBlank="1" showInputMessage="1" showErrorMessage="1" promptTitle="Trạng thái Test" prompt="Chọn: Pass, Fail, Blocked hoặc Untested" sqref="K3:K22">
      <formula1>"Pass,Fail,Blocked,Untested"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7C3AED"/>
  </sheetPr>
  <dimension ref="A1:N26"/>
  <sheetViews>
    <sheetView workbookViewId="0">
      <pane xSplit="2" ySplit="2" topLeftCell="C3" activePane="bottomRight" state="frozen"/>
      <selection pane="topRight" activeCell="C1" sqref="C1"/>
      <selection pane="bottomLeft" activeCell="A3" sqref="A3"/>
      <selection pane="bottomRight"/>
    </sheetView>
  </sheetViews>
  <sheetFormatPr defaultRowHeight="15"/>
  <cols>
    <col min="1" max="1" width="14.7109375" customWidth="1"/>
    <col min="2" max="2" width="20.7109375" customWidth="1"/>
    <col min="3" max="3" width="30.7109375" customWidth="1"/>
    <col min="4" max="4" width="25.7109375" customWidth="1"/>
    <col min="5" max="5" width="34.7109375" customWidth="1"/>
    <col min="6" max="6" width="24.7109375" customWidth="1"/>
    <col min="7" max="7" width="34.7109375" customWidth="1"/>
    <col min="8" max="8" width="12.7109375" customWidth="1"/>
    <col min="9" max="9" width="10.7109375" customWidth="1"/>
    <col min="10" max="10" width="26.7109375" customWidth="1"/>
    <col min="11" max="11" width="12.7109375" customWidth="1"/>
    <col min="12" max="12" width="22.7109375" customWidth="1"/>
    <col min="13" max="13" width="14.7109375" customWidth="1"/>
    <col min="14" max="14" width="13.7109375" customWidth="1"/>
  </cols>
  <sheetData>
    <row r="1" spans="1:14" ht="32" customHeight="1">
      <c r="A1" s="1" t="s">
        <v>1030</v>
      </c>
      <c r="B1" s="1"/>
      <c r="C1" s="1"/>
      <c r="D1" s="1"/>
      <c r="E1" s="1"/>
      <c r="F1" s="1"/>
      <c r="G1" s="1"/>
      <c r="H1" s="1"/>
      <c r="I1" s="1"/>
      <c r="J1" s="1"/>
      <c r="K1" s="1"/>
      <c r="L1" s="1"/>
      <c r="M1" s="1"/>
      <c r="N1" s="1"/>
    </row>
    <row r="2" spans="1:14" ht="28" customHeight="1">
      <c r="A2" s="6" t="s">
        <v>1</v>
      </c>
      <c r="B2" s="6" t="s">
        <v>2</v>
      </c>
      <c r="C2" s="6" t="s">
        <v>3</v>
      </c>
      <c r="D2" s="6" t="s">
        <v>4</v>
      </c>
      <c r="E2" s="6" t="s">
        <v>5</v>
      </c>
      <c r="F2" s="6" t="s">
        <v>6</v>
      </c>
      <c r="G2" s="6" t="s">
        <v>7</v>
      </c>
      <c r="H2" s="6" t="s">
        <v>8</v>
      </c>
      <c r="I2" s="6" t="s">
        <v>9</v>
      </c>
      <c r="J2" s="6" t="s">
        <v>10</v>
      </c>
      <c r="K2" s="6" t="s">
        <v>11</v>
      </c>
      <c r="L2" s="6" t="s">
        <v>12</v>
      </c>
      <c r="M2" s="6" t="s">
        <v>13</v>
      </c>
      <c r="N2" s="6" t="s">
        <v>14</v>
      </c>
    </row>
    <row r="3" spans="1:14" ht="48" customHeight="1">
      <c r="A3" s="7" t="s">
        <v>1031</v>
      </c>
      <c r="B3" s="8" t="s">
        <v>1032</v>
      </c>
      <c r="C3" s="8" t="s">
        <v>1033</v>
      </c>
      <c r="D3" s="8" t="s">
        <v>1034</v>
      </c>
      <c r="E3" s="8" t="s">
        <v>1035</v>
      </c>
      <c r="F3" s="8" t="s">
        <v>743</v>
      </c>
      <c r="G3" s="8" t="s">
        <v>1036</v>
      </c>
      <c r="H3" s="15" t="s">
        <v>35</v>
      </c>
      <c r="I3" s="7" t="s">
        <v>23</v>
      </c>
      <c r="J3" s="8"/>
      <c r="K3" s="7"/>
      <c r="L3" s="8"/>
      <c r="M3" s="7"/>
      <c r="N3" s="7"/>
    </row>
    <row r="4" spans="1:14" ht="48" customHeight="1">
      <c r="A4" s="13" t="s">
        <v>1037</v>
      </c>
      <c r="B4" s="14" t="s">
        <v>1038</v>
      </c>
      <c r="C4" s="14" t="s">
        <v>1039</v>
      </c>
      <c r="D4" s="14" t="s">
        <v>1040</v>
      </c>
      <c r="E4" s="14" t="s">
        <v>1041</v>
      </c>
      <c r="F4" s="14" t="s">
        <v>1042</v>
      </c>
      <c r="G4" s="14" t="s">
        <v>1043</v>
      </c>
      <c r="H4" s="15" t="s">
        <v>35</v>
      </c>
      <c r="I4" s="13" t="s">
        <v>23</v>
      </c>
      <c r="J4" s="14"/>
      <c r="K4" s="13"/>
      <c r="L4" s="14"/>
      <c r="M4" s="13"/>
      <c r="N4" s="13"/>
    </row>
    <row r="5" spans="1:14" ht="48" customHeight="1">
      <c r="A5" s="7" t="s">
        <v>1044</v>
      </c>
      <c r="B5" s="8" t="s">
        <v>1045</v>
      </c>
      <c r="C5" s="8" t="s">
        <v>1046</v>
      </c>
      <c r="D5" s="8" t="s">
        <v>1047</v>
      </c>
      <c r="E5" s="8" t="s">
        <v>1048</v>
      </c>
      <c r="F5" s="8" t="s">
        <v>1049</v>
      </c>
      <c r="G5" s="8" t="s">
        <v>1050</v>
      </c>
      <c r="H5" s="15" t="s">
        <v>35</v>
      </c>
      <c r="I5" s="7" t="s">
        <v>23</v>
      </c>
      <c r="J5" s="8"/>
      <c r="K5" s="7"/>
      <c r="L5" s="8"/>
      <c r="M5" s="7"/>
      <c r="N5" s="7"/>
    </row>
    <row r="6" spans="1:14" ht="48" customHeight="1">
      <c r="A6" s="13" t="s">
        <v>1051</v>
      </c>
      <c r="B6" s="14" t="s">
        <v>1052</v>
      </c>
      <c r="C6" s="14" t="s">
        <v>1053</v>
      </c>
      <c r="D6" s="14" t="s">
        <v>1054</v>
      </c>
      <c r="E6" s="14" t="s">
        <v>1055</v>
      </c>
      <c r="F6" s="14" t="s">
        <v>1056</v>
      </c>
      <c r="G6" s="14" t="s">
        <v>1057</v>
      </c>
      <c r="H6" s="15" t="s">
        <v>35</v>
      </c>
      <c r="I6" s="13" t="s">
        <v>54</v>
      </c>
      <c r="J6" s="14"/>
      <c r="K6" s="13"/>
      <c r="L6" s="14"/>
      <c r="M6" s="13"/>
      <c r="N6" s="13"/>
    </row>
    <row r="7" spans="1:14" ht="48" customHeight="1">
      <c r="A7" s="7" t="s">
        <v>1058</v>
      </c>
      <c r="B7" s="8" t="s">
        <v>1059</v>
      </c>
      <c r="C7" s="8" t="s">
        <v>1060</v>
      </c>
      <c r="D7" s="8" t="s">
        <v>1061</v>
      </c>
      <c r="E7" s="8" t="s">
        <v>1062</v>
      </c>
      <c r="F7" s="8" t="s">
        <v>1063</v>
      </c>
      <c r="G7" s="8" t="s">
        <v>1064</v>
      </c>
      <c r="H7" s="15" t="s">
        <v>35</v>
      </c>
      <c r="I7" s="7" t="s">
        <v>54</v>
      </c>
      <c r="J7" s="8"/>
      <c r="K7" s="7"/>
      <c r="L7" s="8"/>
      <c r="M7" s="7"/>
      <c r="N7" s="7"/>
    </row>
    <row r="8" spans="1:14" ht="48" customHeight="1">
      <c r="A8" s="13" t="s">
        <v>1065</v>
      </c>
      <c r="B8" s="14" t="s">
        <v>1066</v>
      </c>
      <c r="C8" s="14" t="s">
        <v>1067</v>
      </c>
      <c r="D8" s="14" t="s">
        <v>1068</v>
      </c>
      <c r="E8" s="14" t="s">
        <v>1069</v>
      </c>
      <c r="F8" s="14" t="s">
        <v>1070</v>
      </c>
      <c r="G8" s="14" t="s">
        <v>1071</v>
      </c>
      <c r="H8" s="12" t="s">
        <v>22</v>
      </c>
      <c r="I8" s="13" t="s">
        <v>23</v>
      </c>
      <c r="J8" s="14"/>
      <c r="K8" s="13"/>
      <c r="L8" s="14"/>
      <c r="M8" s="13"/>
      <c r="N8" s="13"/>
    </row>
    <row r="9" spans="1:14" ht="48" customHeight="1">
      <c r="A9" s="7" t="s">
        <v>1072</v>
      </c>
      <c r="B9" s="8" t="s">
        <v>1073</v>
      </c>
      <c r="C9" s="8" t="s">
        <v>1074</v>
      </c>
      <c r="D9" s="8" t="s">
        <v>1075</v>
      </c>
      <c r="E9" s="8" t="s">
        <v>1076</v>
      </c>
      <c r="F9" s="8" t="s">
        <v>1077</v>
      </c>
      <c r="G9" s="8" t="s">
        <v>1078</v>
      </c>
      <c r="H9" s="15" t="s">
        <v>35</v>
      </c>
      <c r="I9" s="7" t="s">
        <v>23</v>
      </c>
      <c r="J9" s="8"/>
      <c r="K9" s="7"/>
      <c r="L9" s="8"/>
      <c r="M9" s="7"/>
      <c r="N9" s="7"/>
    </row>
    <row r="10" spans="1:14" ht="48" customHeight="1">
      <c r="A10" s="13" t="s">
        <v>1079</v>
      </c>
      <c r="B10" s="14" t="s">
        <v>1073</v>
      </c>
      <c r="C10" s="14" t="s">
        <v>1080</v>
      </c>
      <c r="D10" s="14" t="s">
        <v>1081</v>
      </c>
      <c r="E10" s="14" t="s">
        <v>1082</v>
      </c>
      <c r="F10" s="14" t="s">
        <v>1083</v>
      </c>
      <c r="G10" s="14" t="s">
        <v>1084</v>
      </c>
      <c r="H10" s="16" t="s">
        <v>53</v>
      </c>
      <c r="I10" s="13" t="s">
        <v>54</v>
      </c>
      <c r="J10" s="14"/>
      <c r="K10" s="13"/>
      <c r="L10" s="14"/>
      <c r="M10" s="13"/>
      <c r="N10" s="13"/>
    </row>
    <row r="11" spans="1:14" ht="48" customHeight="1">
      <c r="A11" s="7" t="s">
        <v>1085</v>
      </c>
      <c r="B11" s="8" t="s">
        <v>1086</v>
      </c>
      <c r="C11" s="8" t="s">
        <v>1087</v>
      </c>
      <c r="D11" s="8" t="s">
        <v>1088</v>
      </c>
      <c r="E11" s="8" t="s">
        <v>1089</v>
      </c>
      <c r="F11" s="8" t="s">
        <v>1090</v>
      </c>
      <c r="G11" s="8" t="s">
        <v>1091</v>
      </c>
      <c r="H11" s="15" t="s">
        <v>35</v>
      </c>
      <c r="I11" s="7" t="s">
        <v>23</v>
      </c>
      <c r="J11" s="8"/>
      <c r="K11" s="7"/>
      <c r="L11" s="8"/>
      <c r="M11" s="7"/>
      <c r="N11" s="7"/>
    </row>
    <row r="12" spans="1:14" ht="48" customHeight="1">
      <c r="A12" s="13" t="s">
        <v>1092</v>
      </c>
      <c r="B12" s="14" t="s">
        <v>1093</v>
      </c>
      <c r="C12" s="14" t="s">
        <v>1094</v>
      </c>
      <c r="D12" s="14" t="s">
        <v>1095</v>
      </c>
      <c r="E12" s="14" t="s">
        <v>1096</v>
      </c>
      <c r="F12" s="14" t="s">
        <v>1097</v>
      </c>
      <c r="G12" s="14" t="s">
        <v>1098</v>
      </c>
      <c r="H12" s="15" t="s">
        <v>35</v>
      </c>
      <c r="I12" s="13" t="s">
        <v>23</v>
      </c>
      <c r="J12" s="14"/>
      <c r="K12" s="13"/>
      <c r="L12" s="14"/>
      <c r="M12" s="13"/>
      <c r="N12" s="13"/>
    </row>
    <row r="13" spans="1:14" ht="48" customHeight="1">
      <c r="A13" s="7" t="s">
        <v>1099</v>
      </c>
      <c r="B13" s="8" t="s">
        <v>1100</v>
      </c>
      <c r="C13" s="8" t="s">
        <v>1101</v>
      </c>
      <c r="D13" s="8" t="s">
        <v>1102</v>
      </c>
      <c r="E13" s="8" t="s">
        <v>1103</v>
      </c>
      <c r="F13" s="8" t="s">
        <v>1104</v>
      </c>
      <c r="G13" s="8" t="s">
        <v>1105</v>
      </c>
      <c r="H13" s="15" t="s">
        <v>35</v>
      </c>
      <c r="I13" s="7" t="s">
        <v>23</v>
      </c>
      <c r="J13" s="8"/>
      <c r="K13" s="7"/>
      <c r="L13" s="8"/>
      <c r="M13" s="7"/>
      <c r="N13" s="7"/>
    </row>
    <row r="14" spans="1:14" ht="48" customHeight="1">
      <c r="A14" s="13" t="s">
        <v>1106</v>
      </c>
      <c r="B14" s="14" t="s">
        <v>1107</v>
      </c>
      <c r="C14" s="14" t="s">
        <v>1108</v>
      </c>
      <c r="D14" s="14" t="s">
        <v>1109</v>
      </c>
      <c r="E14" s="14" t="s">
        <v>1110</v>
      </c>
      <c r="F14" s="14" t="s">
        <v>1111</v>
      </c>
      <c r="G14" s="14" t="s">
        <v>1112</v>
      </c>
      <c r="H14" s="15" t="s">
        <v>35</v>
      </c>
      <c r="I14" s="13" t="s">
        <v>54</v>
      </c>
      <c r="J14" s="14"/>
      <c r="K14" s="13"/>
      <c r="L14" s="14"/>
      <c r="M14" s="13"/>
      <c r="N14" s="13"/>
    </row>
    <row r="15" spans="1:14" ht="48" customHeight="1">
      <c r="A15" s="7" t="s">
        <v>1113</v>
      </c>
      <c r="B15" s="8" t="s">
        <v>1107</v>
      </c>
      <c r="C15" s="8" t="s">
        <v>1114</v>
      </c>
      <c r="D15" s="8" t="s">
        <v>1115</v>
      </c>
      <c r="E15" s="8" t="s">
        <v>1116</v>
      </c>
      <c r="F15" s="8" t="s">
        <v>1117</v>
      </c>
      <c r="G15" s="8" t="s">
        <v>1118</v>
      </c>
      <c r="H15" s="15" t="s">
        <v>35</v>
      </c>
      <c r="I15" s="7" t="s">
        <v>54</v>
      </c>
      <c r="J15" s="8"/>
      <c r="K15" s="7"/>
      <c r="L15" s="8"/>
      <c r="M15" s="7"/>
      <c r="N15" s="7"/>
    </row>
    <row r="16" spans="1:14" ht="48" customHeight="1">
      <c r="A16" s="13" t="s">
        <v>1119</v>
      </c>
      <c r="B16" s="14" t="s">
        <v>1107</v>
      </c>
      <c r="C16" s="14" t="s">
        <v>1120</v>
      </c>
      <c r="D16" s="14" t="s">
        <v>1121</v>
      </c>
      <c r="E16" s="14" t="s">
        <v>1122</v>
      </c>
      <c r="F16" s="14" t="s">
        <v>1123</v>
      </c>
      <c r="G16" s="14" t="s">
        <v>1124</v>
      </c>
      <c r="H16" s="15" t="s">
        <v>35</v>
      </c>
      <c r="I16" s="13" t="s">
        <v>23</v>
      </c>
      <c r="J16" s="14"/>
      <c r="K16" s="13"/>
      <c r="L16" s="14"/>
      <c r="M16" s="13"/>
      <c r="N16" s="13"/>
    </row>
    <row r="17" spans="1:14" ht="48" customHeight="1">
      <c r="A17" s="7" t="s">
        <v>1125</v>
      </c>
      <c r="B17" s="8" t="s">
        <v>1107</v>
      </c>
      <c r="C17" s="8" t="s">
        <v>1126</v>
      </c>
      <c r="D17" s="8" t="s">
        <v>1127</v>
      </c>
      <c r="E17" s="8" t="s">
        <v>1128</v>
      </c>
      <c r="F17" s="8" t="s">
        <v>1129</v>
      </c>
      <c r="G17" s="8" t="s">
        <v>1130</v>
      </c>
      <c r="H17" s="12" t="s">
        <v>22</v>
      </c>
      <c r="I17" s="7" t="s">
        <v>23</v>
      </c>
      <c r="J17" s="8"/>
      <c r="K17" s="7"/>
      <c r="L17" s="8"/>
      <c r="M17" s="7"/>
      <c r="N17" s="7"/>
    </row>
    <row r="18" spans="1:14" ht="48" customHeight="1">
      <c r="A18" s="13" t="s">
        <v>1131</v>
      </c>
      <c r="B18" s="14" t="s">
        <v>1107</v>
      </c>
      <c r="C18" s="14" t="s">
        <v>1132</v>
      </c>
      <c r="D18" s="14" t="s">
        <v>1133</v>
      </c>
      <c r="E18" s="14" t="s">
        <v>1134</v>
      </c>
      <c r="F18" s="14" t="s">
        <v>1135</v>
      </c>
      <c r="G18" s="14" t="s">
        <v>1136</v>
      </c>
      <c r="H18" s="15" t="s">
        <v>35</v>
      </c>
      <c r="I18" s="13" t="s">
        <v>23</v>
      </c>
      <c r="J18" s="14"/>
      <c r="K18" s="13"/>
      <c r="L18" s="14"/>
      <c r="M18" s="13"/>
      <c r="N18" s="13"/>
    </row>
    <row r="19" spans="1:14" ht="48" customHeight="1">
      <c r="A19" s="7" t="s">
        <v>1137</v>
      </c>
      <c r="B19" s="8" t="s">
        <v>1107</v>
      </c>
      <c r="C19" s="8" t="s">
        <v>1138</v>
      </c>
      <c r="D19" s="8" t="s">
        <v>1139</v>
      </c>
      <c r="E19" s="8" t="s">
        <v>1140</v>
      </c>
      <c r="F19" s="8" t="s">
        <v>1141</v>
      </c>
      <c r="G19" s="8" t="s">
        <v>1142</v>
      </c>
      <c r="H19" s="16" t="s">
        <v>53</v>
      </c>
      <c r="I19" s="7" t="s">
        <v>54</v>
      </c>
      <c r="J19" s="8"/>
      <c r="K19" s="7"/>
      <c r="L19" s="8"/>
      <c r="M19" s="7"/>
      <c r="N19" s="7"/>
    </row>
    <row r="20" spans="1:14" ht="48" customHeight="1">
      <c r="A20" s="13" t="s">
        <v>1143</v>
      </c>
      <c r="B20" s="14" t="s">
        <v>1144</v>
      </c>
      <c r="C20" s="14" t="s">
        <v>1145</v>
      </c>
      <c r="D20" s="14" t="s">
        <v>1146</v>
      </c>
      <c r="E20" s="14" t="s">
        <v>1147</v>
      </c>
      <c r="F20" s="14" t="s">
        <v>1148</v>
      </c>
      <c r="G20" s="14" t="s">
        <v>1149</v>
      </c>
      <c r="H20" s="16" t="s">
        <v>53</v>
      </c>
      <c r="I20" s="13" t="s">
        <v>98</v>
      </c>
      <c r="J20" s="14"/>
      <c r="K20" s="13"/>
      <c r="L20" s="14"/>
      <c r="M20" s="13"/>
      <c r="N20" s="13"/>
    </row>
    <row r="21" spans="1:14" ht="48" customHeight="1">
      <c r="A21" s="7" t="s">
        <v>1150</v>
      </c>
      <c r="B21" s="8" t="s">
        <v>1151</v>
      </c>
      <c r="C21" s="8" t="s">
        <v>1152</v>
      </c>
      <c r="D21" s="8" t="s">
        <v>1081</v>
      </c>
      <c r="E21" s="8" t="s">
        <v>1153</v>
      </c>
      <c r="F21" s="8" t="s">
        <v>1154</v>
      </c>
      <c r="G21" s="8" t="s">
        <v>1155</v>
      </c>
      <c r="H21" s="16" t="s">
        <v>53</v>
      </c>
      <c r="I21" s="7" t="s">
        <v>54</v>
      </c>
      <c r="J21" s="8"/>
      <c r="K21" s="7"/>
      <c r="L21" s="8"/>
      <c r="M21" s="7"/>
      <c r="N21" s="7"/>
    </row>
    <row r="22" spans="1:14" ht="48" customHeight="1">
      <c r="A22" s="13" t="s">
        <v>1156</v>
      </c>
      <c r="B22" s="14" t="s">
        <v>1107</v>
      </c>
      <c r="C22" s="14" t="s">
        <v>1157</v>
      </c>
      <c r="D22" s="14" t="s">
        <v>1158</v>
      </c>
      <c r="E22" s="14" t="s">
        <v>1159</v>
      </c>
      <c r="F22" s="14" t="s">
        <v>1160</v>
      </c>
      <c r="G22" s="14" t="s">
        <v>1161</v>
      </c>
      <c r="H22" s="16" t="s">
        <v>53</v>
      </c>
      <c r="I22" s="13" t="s">
        <v>54</v>
      </c>
      <c r="J22" s="14"/>
      <c r="K22" s="13"/>
      <c r="L22" s="14"/>
      <c r="M22" s="13"/>
      <c r="N22" s="13"/>
    </row>
    <row r="23" spans="1:14" ht="48" customHeight="1">
      <c r="A23" s="7" t="s">
        <v>1162</v>
      </c>
      <c r="B23" s="8" t="s">
        <v>1107</v>
      </c>
      <c r="C23" s="8" t="s">
        <v>1163</v>
      </c>
      <c r="D23" s="8" t="s">
        <v>1164</v>
      </c>
      <c r="E23" s="8" t="s">
        <v>1165</v>
      </c>
      <c r="F23" s="8" t="s">
        <v>1166</v>
      </c>
      <c r="G23" s="8" t="s">
        <v>1167</v>
      </c>
      <c r="H23" s="15" t="s">
        <v>35</v>
      </c>
      <c r="I23" s="7" t="s">
        <v>54</v>
      </c>
      <c r="J23" s="8"/>
      <c r="K23" s="7"/>
      <c r="L23" s="8"/>
      <c r="M23" s="7"/>
      <c r="N23" s="7"/>
    </row>
    <row r="24" spans="1:14" ht="48" customHeight="1">
      <c r="A24" s="13" t="s">
        <v>1168</v>
      </c>
      <c r="B24" s="14" t="s">
        <v>1169</v>
      </c>
      <c r="C24" s="14" t="s">
        <v>1170</v>
      </c>
      <c r="D24" s="14" t="s">
        <v>1171</v>
      </c>
      <c r="E24" s="14" t="s">
        <v>1172</v>
      </c>
      <c r="F24" s="14" t="s">
        <v>1173</v>
      </c>
      <c r="G24" s="14" t="s">
        <v>1174</v>
      </c>
      <c r="H24" s="15" t="s">
        <v>35</v>
      </c>
      <c r="I24" s="13" t="s">
        <v>54</v>
      </c>
      <c r="J24" s="14"/>
      <c r="K24" s="13"/>
      <c r="L24" s="14"/>
      <c r="M24" s="13"/>
      <c r="N24" s="13"/>
    </row>
    <row r="25" spans="1:14" ht="48" customHeight="1">
      <c r="A25" s="7" t="s">
        <v>1175</v>
      </c>
      <c r="B25" s="8" t="s">
        <v>1176</v>
      </c>
      <c r="C25" s="8" t="s">
        <v>1177</v>
      </c>
      <c r="D25" s="8" t="s">
        <v>1178</v>
      </c>
      <c r="E25" s="8" t="s">
        <v>1179</v>
      </c>
      <c r="F25" s="8" t="s">
        <v>1180</v>
      </c>
      <c r="G25" s="8" t="s">
        <v>1181</v>
      </c>
      <c r="H25" s="12" t="s">
        <v>22</v>
      </c>
      <c r="I25" s="7" t="s">
        <v>23</v>
      </c>
      <c r="J25" s="8"/>
      <c r="K25" s="7"/>
      <c r="L25" s="8"/>
      <c r="M25" s="7"/>
      <c r="N25" s="7"/>
    </row>
    <row r="26" spans="1:14" ht="48" customHeight="1">
      <c r="A26" s="13" t="s">
        <v>1182</v>
      </c>
      <c r="B26" s="14" t="s">
        <v>1183</v>
      </c>
      <c r="C26" s="14" t="s">
        <v>1184</v>
      </c>
      <c r="D26" s="14" t="s">
        <v>1185</v>
      </c>
      <c r="E26" s="14" t="s">
        <v>1186</v>
      </c>
      <c r="F26" s="14" t="s">
        <v>1187</v>
      </c>
      <c r="G26" s="14" t="s">
        <v>1188</v>
      </c>
      <c r="H26" s="16" t="s">
        <v>53</v>
      </c>
      <c r="I26" s="13" t="s">
        <v>54</v>
      </c>
      <c r="J26" s="14"/>
      <c r="K26" s="13"/>
      <c r="L26" s="14"/>
      <c r="M26" s="13"/>
      <c r="N26" s="13"/>
    </row>
  </sheetData>
  <mergeCells count="1">
    <mergeCell ref="A1:N1"/>
  </mergeCells>
  <dataValidations count="1">
    <dataValidation type="list" allowBlank="1" showInputMessage="1" showErrorMessage="1" promptTitle="Trạng thái Test" prompt="Chọn: Pass, Fail, Blocked hoặc Untested" sqref="K3:K26">
      <formula1>"Pass,Fail,Blocked,Untested"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334155"/>
  </sheetPr>
  <dimension ref="A1:N18"/>
  <sheetViews>
    <sheetView workbookViewId="0">
      <pane xSplit="2" ySplit="2" topLeftCell="C3" activePane="bottomRight" state="frozen"/>
      <selection pane="topRight" activeCell="C1" sqref="C1"/>
      <selection pane="bottomLeft" activeCell="A3" sqref="A3"/>
      <selection pane="bottomRight"/>
    </sheetView>
  </sheetViews>
  <sheetFormatPr defaultRowHeight="15"/>
  <cols>
    <col min="1" max="1" width="14.7109375" customWidth="1"/>
    <col min="2" max="2" width="20.7109375" customWidth="1"/>
    <col min="3" max="3" width="30.7109375" customWidth="1"/>
    <col min="4" max="4" width="25.7109375" customWidth="1"/>
    <col min="5" max="5" width="34.7109375" customWidth="1"/>
    <col min="6" max="6" width="24.7109375" customWidth="1"/>
    <col min="7" max="7" width="34.7109375" customWidth="1"/>
    <col min="8" max="8" width="12.7109375" customWidth="1"/>
    <col min="9" max="9" width="10.7109375" customWidth="1"/>
    <col min="10" max="10" width="26.7109375" customWidth="1"/>
    <col min="11" max="11" width="12.7109375" customWidth="1"/>
    <col min="12" max="12" width="22.7109375" customWidth="1"/>
    <col min="13" max="13" width="14.7109375" customWidth="1"/>
    <col min="14" max="14" width="13.7109375" customWidth="1"/>
  </cols>
  <sheetData>
    <row r="1" spans="1:14" ht="32" customHeight="1">
      <c r="A1" s="1" t="s">
        <v>1189</v>
      </c>
      <c r="B1" s="1"/>
      <c r="C1" s="1"/>
      <c r="D1" s="1"/>
      <c r="E1" s="1"/>
      <c r="F1" s="1"/>
      <c r="G1" s="1"/>
      <c r="H1" s="1"/>
      <c r="I1" s="1"/>
      <c r="J1" s="1"/>
      <c r="K1" s="1"/>
      <c r="L1" s="1"/>
      <c r="M1" s="1"/>
      <c r="N1" s="1"/>
    </row>
    <row r="2" spans="1:14" ht="28" customHeight="1">
      <c r="A2" s="6" t="s">
        <v>1</v>
      </c>
      <c r="B2" s="6" t="s">
        <v>2</v>
      </c>
      <c r="C2" s="6" t="s">
        <v>3</v>
      </c>
      <c r="D2" s="6" t="s">
        <v>4</v>
      </c>
      <c r="E2" s="6" t="s">
        <v>5</v>
      </c>
      <c r="F2" s="6" t="s">
        <v>6</v>
      </c>
      <c r="G2" s="6" t="s">
        <v>7</v>
      </c>
      <c r="H2" s="6" t="s">
        <v>8</v>
      </c>
      <c r="I2" s="6" t="s">
        <v>9</v>
      </c>
      <c r="J2" s="6" t="s">
        <v>10</v>
      </c>
      <c r="K2" s="6" t="s">
        <v>11</v>
      </c>
      <c r="L2" s="6" t="s">
        <v>12</v>
      </c>
      <c r="M2" s="6" t="s">
        <v>13</v>
      </c>
      <c r="N2" s="6" t="s">
        <v>14</v>
      </c>
    </row>
    <row r="3" spans="1:14" ht="48" customHeight="1">
      <c r="A3" s="7" t="s">
        <v>1190</v>
      </c>
      <c r="B3" s="8" t="s">
        <v>1191</v>
      </c>
      <c r="C3" s="8" t="s">
        <v>1192</v>
      </c>
      <c r="D3" s="8" t="s">
        <v>1193</v>
      </c>
      <c r="E3" s="8" t="s">
        <v>1194</v>
      </c>
      <c r="F3" s="8" t="s">
        <v>1195</v>
      </c>
      <c r="G3" s="8" t="s">
        <v>1196</v>
      </c>
      <c r="H3" s="12" t="s">
        <v>22</v>
      </c>
      <c r="I3" s="7" t="s">
        <v>23</v>
      </c>
      <c r="J3" s="8"/>
      <c r="K3" s="7"/>
      <c r="L3" s="8"/>
      <c r="M3" s="7"/>
      <c r="N3" s="7"/>
    </row>
    <row r="4" spans="1:14" ht="48" customHeight="1">
      <c r="A4" s="13" t="s">
        <v>1197</v>
      </c>
      <c r="B4" s="14" t="s">
        <v>1198</v>
      </c>
      <c r="C4" s="14" t="s">
        <v>1199</v>
      </c>
      <c r="D4" s="14" t="s">
        <v>1200</v>
      </c>
      <c r="E4" s="14" t="s">
        <v>1201</v>
      </c>
      <c r="F4" s="14" t="s">
        <v>1202</v>
      </c>
      <c r="G4" s="14" t="s">
        <v>1203</v>
      </c>
      <c r="H4" s="12" t="s">
        <v>22</v>
      </c>
      <c r="I4" s="13" t="s">
        <v>23</v>
      </c>
      <c r="J4" s="14"/>
      <c r="K4" s="13"/>
      <c r="L4" s="14"/>
      <c r="M4" s="13"/>
      <c r="N4" s="13"/>
    </row>
    <row r="5" spans="1:14" ht="48" customHeight="1">
      <c r="A5" s="7" t="s">
        <v>1204</v>
      </c>
      <c r="B5" s="8" t="s">
        <v>1205</v>
      </c>
      <c r="C5" s="8" t="s">
        <v>1206</v>
      </c>
      <c r="D5" s="8" t="s">
        <v>1207</v>
      </c>
      <c r="E5" s="8" t="s">
        <v>1208</v>
      </c>
      <c r="F5" s="8" t="s">
        <v>1209</v>
      </c>
      <c r="G5" s="8" t="s">
        <v>1210</v>
      </c>
      <c r="H5" s="12" t="s">
        <v>22</v>
      </c>
      <c r="I5" s="7" t="s">
        <v>23</v>
      </c>
      <c r="J5" s="8"/>
      <c r="K5" s="7"/>
      <c r="L5" s="8"/>
      <c r="M5" s="7"/>
      <c r="N5" s="7"/>
    </row>
    <row r="6" spans="1:14" ht="48" customHeight="1">
      <c r="A6" s="13" t="s">
        <v>1211</v>
      </c>
      <c r="B6" s="14" t="s">
        <v>1205</v>
      </c>
      <c r="C6" s="14" t="s">
        <v>1212</v>
      </c>
      <c r="D6" s="14" t="s">
        <v>1213</v>
      </c>
      <c r="E6" s="14" t="s">
        <v>1214</v>
      </c>
      <c r="F6" s="14" t="s">
        <v>1215</v>
      </c>
      <c r="G6" s="14" t="s">
        <v>1216</v>
      </c>
      <c r="H6" s="12" t="s">
        <v>22</v>
      </c>
      <c r="I6" s="13" t="s">
        <v>23</v>
      </c>
      <c r="J6" s="14"/>
      <c r="K6" s="13"/>
      <c r="L6" s="14"/>
      <c r="M6" s="13"/>
      <c r="N6" s="13"/>
    </row>
    <row r="7" spans="1:14" ht="48" customHeight="1">
      <c r="A7" s="7" t="s">
        <v>1217</v>
      </c>
      <c r="B7" s="8" t="s">
        <v>1218</v>
      </c>
      <c r="C7" s="8" t="s">
        <v>1219</v>
      </c>
      <c r="D7" s="8" t="s">
        <v>1220</v>
      </c>
      <c r="E7" s="8" t="s">
        <v>1221</v>
      </c>
      <c r="F7" s="8" t="s">
        <v>1222</v>
      </c>
      <c r="G7" s="8" t="s">
        <v>1223</v>
      </c>
      <c r="H7" s="15" t="s">
        <v>35</v>
      </c>
      <c r="I7" s="7" t="s">
        <v>23</v>
      </c>
      <c r="J7" s="8"/>
      <c r="K7" s="7"/>
      <c r="L7" s="8"/>
      <c r="M7" s="7"/>
      <c r="N7" s="7"/>
    </row>
    <row r="8" spans="1:14" ht="48" customHeight="1">
      <c r="A8" s="13" t="s">
        <v>1224</v>
      </c>
      <c r="B8" s="14" t="s">
        <v>1225</v>
      </c>
      <c r="C8" s="14" t="s">
        <v>1226</v>
      </c>
      <c r="D8" s="14" t="s">
        <v>1227</v>
      </c>
      <c r="E8" s="14" t="s">
        <v>1228</v>
      </c>
      <c r="F8" s="14" t="s">
        <v>1229</v>
      </c>
      <c r="G8" s="14" t="s">
        <v>1230</v>
      </c>
      <c r="H8" s="16" t="s">
        <v>53</v>
      </c>
      <c r="I8" s="13" t="s">
        <v>54</v>
      </c>
      <c r="J8" s="14"/>
      <c r="K8" s="13"/>
      <c r="L8" s="14"/>
      <c r="M8" s="13"/>
      <c r="N8" s="13"/>
    </row>
    <row r="9" spans="1:14" ht="48" customHeight="1">
      <c r="A9" s="7" t="s">
        <v>1231</v>
      </c>
      <c r="B9" s="8" t="s">
        <v>1232</v>
      </c>
      <c r="C9" s="8" t="s">
        <v>1233</v>
      </c>
      <c r="D9" s="8" t="s">
        <v>1234</v>
      </c>
      <c r="E9" s="8" t="s">
        <v>1235</v>
      </c>
      <c r="F9" s="8" t="s">
        <v>1236</v>
      </c>
      <c r="G9" s="8" t="s">
        <v>1237</v>
      </c>
      <c r="H9" s="16" t="s">
        <v>53</v>
      </c>
      <c r="I9" s="7" t="s">
        <v>54</v>
      </c>
      <c r="J9" s="8"/>
      <c r="K9" s="7"/>
      <c r="L9" s="8"/>
      <c r="M9" s="7"/>
      <c r="N9" s="7"/>
    </row>
    <row r="10" spans="1:14" ht="48" customHeight="1">
      <c r="A10" s="13" t="s">
        <v>1238</v>
      </c>
      <c r="B10" s="14" t="s">
        <v>1239</v>
      </c>
      <c r="C10" s="14" t="s">
        <v>1240</v>
      </c>
      <c r="D10" s="14" t="s">
        <v>1241</v>
      </c>
      <c r="E10" s="14" t="s">
        <v>1242</v>
      </c>
      <c r="F10" s="14" t="s">
        <v>1243</v>
      </c>
      <c r="G10" s="14" t="s">
        <v>1244</v>
      </c>
      <c r="H10" s="15" t="s">
        <v>35</v>
      </c>
      <c r="I10" s="13" t="s">
        <v>54</v>
      </c>
      <c r="J10" s="14"/>
      <c r="K10" s="13"/>
      <c r="L10" s="14"/>
      <c r="M10" s="13"/>
      <c r="N10" s="13"/>
    </row>
    <row r="11" spans="1:14" ht="48" customHeight="1">
      <c r="A11" s="7" t="s">
        <v>1245</v>
      </c>
      <c r="B11" s="8" t="s">
        <v>1246</v>
      </c>
      <c r="C11" s="8" t="s">
        <v>1247</v>
      </c>
      <c r="D11" s="8" t="s">
        <v>1248</v>
      </c>
      <c r="E11" s="8" t="s">
        <v>1249</v>
      </c>
      <c r="F11" s="8" t="s">
        <v>1250</v>
      </c>
      <c r="G11" s="8" t="s">
        <v>1251</v>
      </c>
      <c r="H11" s="17" t="s">
        <v>97</v>
      </c>
      <c r="I11" s="7" t="s">
        <v>98</v>
      </c>
      <c r="J11" s="8"/>
      <c r="K11" s="7"/>
      <c r="L11" s="8"/>
      <c r="M11" s="7"/>
      <c r="N11" s="7"/>
    </row>
    <row r="12" spans="1:14" ht="48" customHeight="1">
      <c r="A12" s="13" t="s">
        <v>1252</v>
      </c>
      <c r="B12" s="14" t="s">
        <v>1253</v>
      </c>
      <c r="C12" s="14" t="s">
        <v>1254</v>
      </c>
      <c r="D12" s="14" t="s">
        <v>1255</v>
      </c>
      <c r="E12" s="14" t="s">
        <v>1256</v>
      </c>
      <c r="F12" s="14" t="s">
        <v>1257</v>
      </c>
      <c r="G12" s="14" t="s">
        <v>1258</v>
      </c>
      <c r="H12" s="15" t="s">
        <v>35</v>
      </c>
      <c r="I12" s="13" t="s">
        <v>54</v>
      </c>
      <c r="J12" s="14"/>
      <c r="K12" s="13"/>
      <c r="L12" s="14"/>
      <c r="M12" s="13"/>
      <c r="N12" s="13"/>
    </row>
    <row r="13" spans="1:14" ht="48" customHeight="1">
      <c r="A13" s="7" t="s">
        <v>1259</v>
      </c>
      <c r="B13" s="8" t="s">
        <v>1260</v>
      </c>
      <c r="C13" s="8" t="s">
        <v>1261</v>
      </c>
      <c r="D13" s="8" t="s">
        <v>1262</v>
      </c>
      <c r="E13" s="8" t="s">
        <v>1263</v>
      </c>
      <c r="F13" s="8" t="s">
        <v>1264</v>
      </c>
      <c r="G13" s="8" t="s">
        <v>1265</v>
      </c>
      <c r="H13" s="15" t="s">
        <v>35</v>
      </c>
      <c r="I13" s="7" t="s">
        <v>23</v>
      </c>
      <c r="J13" s="8"/>
      <c r="K13" s="7"/>
      <c r="L13" s="8"/>
      <c r="M13" s="7"/>
      <c r="N13" s="7"/>
    </row>
    <row r="14" spans="1:14" ht="48" customHeight="1">
      <c r="A14" s="13" t="s">
        <v>1266</v>
      </c>
      <c r="B14" s="14" t="s">
        <v>1267</v>
      </c>
      <c r="C14" s="14" t="s">
        <v>1268</v>
      </c>
      <c r="D14" s="14" t="s">
        <v>1269</v>
      </c>
      <c r="E14" s="14" t="s">
        <v>1270</v>
      </c>
      <c r="F14" s="14" t="s">
        <v>1271</v>
      </c>
      <c r="G14" s="14" t="s">
        <v>1272</v>
      </c>
      <c r="H14" s="12" t="s">
        <v>22</v>
      </c>
      <c r="I14" s="13" t="s">
        <v>23</v>
      </c>
      <c r="J14" s="14"/>
      <c r="K14" s="13"/>
      <c r="L14" s="14"/>
      <c r="M14" s="13"/>
      <c r="N14" s="13"/>
    </row>
    <row r="15" spans="1:14" ht="48" customHeight="1">
      <c r="A15" s="7" t="s">
        <v>1273</v>
      </c>
      <c r="B15" s="8" t="s">
        <v>1274</v>
      </c>
      <c r="C15" s="8" t="s">
        <v>1275</v>
      </c>
      <c r="D15" s="8" t="s">
        <v>1276</v>
      </c>
      <c r="E15" s="8" t="s">
        <v>1277</v>
      </c>
      <c r="F15" s="8" t="s">
        <v>1278</v>
      </c>
      <c r="G15" s="8" t="s">
        <v>1279</v>
      </c>
      <c r="H15" s="16" t="s">
        <v>53</v>
      </c>
      <c r="I15" s="7" t="s">
        <v>54</v>
      </c>
      <c r="J15" s="8"/>
      <c r="K15" s="7"/>
      <c r="L15" s="8"/>
      <c r="M15" s="7"/>
      <c r="N15" s="7"/>
    </row>
    <row r="16" spans="1:14" ht="48" customHeight="1">
      <c r="A16" s="13" t="s">
        <v>1280</v>
      </c>
      <c r="B16" s="14" t="s">
        <v>1281</v>
      </c>
      <c r="C16" s="14" t="s">
        <v>1282</v>
      </c>
      <c r="D16" s="14" t="s">
        <v>1283</v>
      </c>
      <c r="E16" s="14" t="s">
        <v>1284</v>
      </c>
      <c r="F16" s="14" t="s">
        <v>1285</v>
      </c>
      <c r="G16" s="14" t="s">
        <v>1286</v>
      </c>
      <c r="H16" s="16" t="s">
        <v>53</v>
      </c>
      <c r="I16" s="13" t="s">
        <v>54</v>
      </c>
      <c r="J16" s="14"/>
      <c r="K16" s="13"/>
      <c r="L16" s="14"/>
      <c r="M16" s="13"/>
      <c r="N16" s="13"/>
    </row>
    <row r="17" spans="1:14" ht="48" customHeight="1">
      <c r="A17" s="7" t="s">
        <v>1287</v>
      </c>
      <c r="B17" s="8" t="s">
        <v>1288</v>
      </c>
      <c r="C17" s="8" t="s">
        <v>1289</v>
      </c>
      <c r="D17" s="8" t="s">
        <v>1290</v>
      </c>
      <c r="E17" s="8" t="s">
        <v>1291</v>
      </c>
      <c r="F17" s="8" t="s">
        <v>1292</v>
      </c>
      <c r="G17" s="8" t="s">
        <v>1293</v>
      </c>
      <c r="H17" s="16" t="s">
        <v>53</v>
      </c>
      <c r="I17" s="7" t="s">
        <v>54</v>
      </c>
      <c r="J17" s="8"/>
      <c r="K17" s="7"/>
      <c r="L17" s="8"/>
      <c r="M17" s="7"/>
      <c r="N17" s="7"/>
    </row>
    <row r="18" spans="1:14" ht="48" customHeight="1">
      <c r="A18" s="13" t="s">
        <v>1294</v>
      </c>
      <c r="B18" s="14" t="s">
        <v>1295</v>
      </c>
      <c r="C18" s="14" t="s">
        <v>1296</v>
      </c>
      <c r="D18" s="14" t="s">
        <v>1297</v>
      </c>
      <c r="E18" s="14" t="s">
        <v>1298</v>
      </c>
      <c r="F18" s="14" t="s">
        <v>1299</v>
      </c>
      <c r="G18" s="14" t="s">
        <v>1300</v>
      </c>
      <c r="H18" s="15" t="s">
        <v>35</v>
      </c>
      <c r="I18" s="13" t="s">
        <v>54</v>
      </c>
      <c r="J18" s="14"/>
      <c r="K18" s="13"/>
      <c r="L18" s="14"/>
      <c r="M18" s="13"/>
      <c r="N18" s="13"/>
    </row>
  </sheetData>
  <mergeCells count="1">
    <mergeCell ref="A1:N1"/>
  </mergeCells>
  <dataValidations count="1">
    <dataValidation type="list" allowBlank="1" showInputMessage="1" showErrorMessage="1" promptTitle="Trạng thái Test" prompt="Chọn: Pass, Fail, Blocked hoặc Untested" sqref="K3:K18">
      <formula1>"Pass,Fail,Blocked,Untested"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1. Tổng quan &amp; Dashboard</vt:lpstr>
      <vt:lpstr>2. Xác thực &amp; Hệ thống</vt:lpstr>
      <vt:lpstr>3. Phân hệ Sinh viên</vt:lpstr>
      <vt:lpstr>4. Phân hệ Giảng viên</vt:lpstr>
      <vt:lpstr>5. Giáo vụ khoa</vt:lpstr>
      <vt:lpstr>6. Phòng đào tạo</vt:lpstr>
      <vt:lpstr>7. Quản trị hệ thống</vt:lpstr>
      <vt:lpstr>8. Phi chức năng &amp; Bảo mật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2026-10-27T15:34:41Z</dcterms:created>
  <dcterms:modified xsi:type="dcterms:W3CDTF">2026-10-27T15:34:41Z</dcterms:modified>
</cp:coreProperties>
</file>